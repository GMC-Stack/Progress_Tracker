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Questa_cartella_di_lavoro"/>
  <mc:AlternateContent xmlns:mc="http://schemas.openxmlformats.org/markup-compatibility/2006">
    <mc:Choice Requires="x15">
      <x15ac:absPath xmlns:x15ac="http://schemas.microsoft.com/office/spreadsheetml/2010/11/ac" url="https://d.docs.live.net/5ef4060df11a689e/Desktop/GMC/GMC - Private/GMC/Progetti GMC/Progetti GMC/Progress - Tracker (Excel)/"/>
    </mc:Choice>
  </mc:AlternateContent>
  <xr:revisionPtr revIDLastSave="4259" documentId="13_ncr:1_{5BA969BE-F300-4CCE-929C-EC603257E05F}" xr6:coauthVersionLast="47" xr6:coauthVersionMax="47" xr10:uidLastSave="{5A4E0B75-5C86-47BA-A055-611E0B2E650D}"/>
  <bookViews>
    <workbookView xWindow="9013" yWindow="-93" windowWidth="25787" windowHeight="13866" firstSheet="1" activeTab="5" xr2:uid="{00000000-000D-0000-FFFF-FFFF00000000}"/>
  </bookViews>
  <sheets>
    <sheet name="Instructions" sheetId="14" r:id="rId1"/>
    <sheet name="(NAME) - Sheet" sheetId="5" r:id="rId2"/>
    <sheet name="(NAME) - Sheet (2)" sheetId="8" r:id="rId3"/>
    <sheet name="Risk assesment" sheetId="15" r:id="rId4"/>
    <sheet name="Progress calculator" sheetId="1" r:id="rId5"/>
    <sheet name="Well-Being " sheetId="13" r:id="rId6"/>
    <sheet name="Weekly Progress" sheetId="2" r:id="rId7"/>
    <sheet name="Statistics" sheetId="1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5" l="1"/>
  <c r="F20" i="15"/>
  <c r="F21" i="15"/>
  <c r="F22" i="15"/>
  <c r="F23" i="15"/>
  <c r="F24" i="15"/>
  <c r="F25" i="15"/>
  <c r="F26" i="15"/>
  <c r="F27" i="15"/>
  <c r="I9" i="5" l="1"/>
  <c r="I10" i="5"/>
  <c r="I11" i="5"/>
  <c r="I12" i="5"/>
  <c r="I13" i="5"/>
  <c r="I14" i="5"/>
  <c r="I15" i="5"/>
  <c r="I16" i="5"/>
  <c r="I17" i="5"/>
  <c r="I18" i="5"/>
  <c r="I19" i="5"/>
  <c r="I20" i="5"/>
  <c r="I21" i="5"/>
  <c r="I22" i="5"/>
  <c r="I23" i="5"/>
  <c r="I24" i="5"/>
  <c r="I25" i="5"/>
  <c r="F5" i="15"/>
  <c r="F19" i="15" l="1"/>
  <c r="F18" i="15"/>
  <c r="F17" i="15"/>
  <c r="F16" i="15"/>
  <c r="F15" i="15"/>
  <c r="F6" i="15"/>
  <c r="C20" i="13"/>
  <c r="D20" i="13"/>
  <c r="E20" i="13"/>
  <c r="F20" i="13"/>
  <c r="G20" i="13"/>
  <c r="H20" i="13"/>
  <c r="I20" i="13"/>
  <c r="J20" i="13"/>
  <c r="K20" i="13"/>
  <c r="L20" i="13"/>
  <c r="M20" i="13"/>
  <c r="N20" i="13"/>
  <c r="O20" i="13"/>
  <c r="P20" i="13"/>
  <c r="B20" i="13"/>
  <c r="Q13" i="13"/>
  <c r="Q14" i="13"/>
  <c r="Q15" i="13"/>
  <c r="Q16" i="13"/>
  <c r="Q17" i="13"/>
  <c r="Q18" i="13"/>
  <c r="Q12" i="13"/>
  <c r="P19" i="13"/>
  <c r="I19" i="13"/>
  <c r="J19" i="13"/>
  <c r="K19" i="13"/>
  <c r="L19" i="13"/>
  <c r="M19" i="13"/>
  <c r="N19" i="13"/>
  <c r="O19" i="13"/>
  <c r="F14" i="15"/>
  <c r="F13" i="15"/>
  <c r="F12" i="15"/>
  <c r="F11" i="15"/>
  <c r="F10" i="15"/>
  <c r="F9" i="15"/>
  <c r="F8" i="15"/>
  <c r="F7" i="15"/>
  <c r="O21" i="13" l="1"/>
  <c r="L21" i="13"/>
  <c r="G6" i="13"/>
  <c r="G4" i="13" s="1" a="1"/>
  <c r="G4" i="13" s="1"/>
  <c r="Q20" i="13"/>
  <c r="H6" i="13"/>
  <c r="H4" i="13" s="1" a="1"/>
  <c r="H4" i="13" s="1"/>
  <c r="N20" i="1"/>
  <c r="H19" i="13"/>
  <c r="G19" i="13"/>
  <c r="F19" i="13"/>
  <c r="E19" i="13"/>
  <c r="D19" i="13"/>
  <c r="C19" i="13"/>
  <c r="B19" i="13"/>
  <c r="J14" i="8"/>
  <c r="J15" i="8" s="1" a="1"/>
  <c r="J15" i="8" s="1"/>
  <c r="K14" i="8"/>
  <c r="K15" i="8" s="1" a="1"/>
  <c r="K15" i="8" s="1"/>
  <c r="L14" i="8"/>
  <c r="L15" i="8" s="1" a="1"/>
  <c r="L15" i="8" s="1"/>
  <c r="M14" i="8"/>
  <c r="M15" i="8" s="1" a="1"/>
  <c r="M15" i="8" s="1"/>
  <c r="N14" i="8"/>
  <c r="N15" i="8" s="1" a="1"/>
  <c r="N15" i="8" s="1"/>
  <c r="O14" i="8"/>
  <c r="O15" i="8" s="1" a="1"/>
  <c r="O15" i="8" s="1"/>
  <c r="Q14" i="8"/>
  <c r="Q15" i="8" s="1" a="1"/>
  <c r="Q15" i="8" s="1"/>
  <c r="R14" i="8"/>
  <c r="R15" i="8" s="1" a="1"/>
  <c r="R15" i="8" s="1"/>
  <c r="S14" i="8"/>
  <c r="S15" i="8" s="1" a="1"/>
  <c r="S15" i="8" s="1"/>
  <c r="U14" i="8"/>
  <c r="U15" i="8" s="1" a="1"/>
  <c r="U15" i="8" s="1"/>
  <c r="P14" i="8"/>
  <c r="P15" i="8" s="1" a="1"/>
  <c r="P15" i="8" s="1"/>
  <c r="T14" i="8"/>
  <c r="T15" i="8" s="1" a="1"/>
  <c r="T15" i="8" s="1"/>
  <c r="O14" i="1"/>
  <c r="R14" i="1" s="1"/>
  <c r="S14" i="1" s="1" a="1"/>
  <c r="S14" i="1" s="1"/>
  <c r="O19" i="1"/>
  <c r="Q19" i="1" s="1"/>
  <c r="O18" i="1"/>
  <c r="Q18" i="1" s="1"/>
  <c r="O17" i="1"/>
  <c r="R17" i="1" s="1"/>
  <c r="S17" i="1" s="1" a="1"/>
  <c r="S17" i="1" s="1"/>
  <c r="O16" i="1"/>
  <c r="Q16" i="1" s="1"/>
  <c r="O15" i="1"/>
  <c r="L2" i="1"/>
  <c r="M3" i="1" s="1"/>
  <c r="Q19" i="13" l="1"/>
  <c r="Q15" i="1"/>
  <c r="R15" i="1"/>
  <c r="S15" i="1" s="1" a="1"/>
  <c r="S15" i="1" s="1"/>
  <c r="F6" i="13"/>
  <c r="F4" i="13" s="1" a="1"/>
  <c r="F4" i="13" s="1"/>
  <c r="I21" i="13"/>
  <c r="E6" i="13"/>
  <c r="E4" i="13" s="1" a="1"/>
  <c r="E4" i="13" s="1"/>
  <c r="F21" i="13"/>
  <c r="C21" i="13"/>
  <c r="D6" i="13"/>
  <c r="R19" i="1"/>
  <c r="S19" i="1" s="1" a="1"/>
  <c r="S19" i="1" s="1"/>
  <c r="R18" i="1"/>
  <c r="S18" i="1" s="1" a="1"/>
  <c r="S18" i="1" s="1"/>
  <c r="Q14" i="1"/>
  <c r="R16" i="1"/>
  <c r="S16" i="1" s="1" a="1"/>
  <c r="S16" i="1" s="1"/>
  <c r="Q17" i="1"/>
  <c r="D4" i="13" l="1" a="1"/>
  <c r="D4" i="13" s="1"/>
  <c r="E8" i="13" s="1"/>
  <c r="D8" i="13"/>
  <c r="Q20" i="1"/>
  <c r="S2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<sst xmlns="http://schemas.openxmlformats.org/spreadsheetml/2006/main" count="429" uniqueCount="230">
  <si>
    <t>Sport</t>
  </si>
  <si>
    <t>Waste</t>
  </si>
  <si>
    <t>168h</t>
  </si>
  <si>
    <t>Rating (1-5)</t>
  </si>
  <si>
    <t>x &lt;= 0,24</t>
  </si>
  <si>
    <t>x &gt;= 1,75</t>
  </si>
  <si>
    <t>&lt;= 0,49</t>
  </si>
  <si>
    <t>x &gt;= 1,5</t>
  </si>
  <si>
    <t>&lt;= 0,74</t>
  </si>
  <si>
    <t>x &gt;= 1,30</t>
  </si>
  <si>
    <t>&lt;= 0,9</t>
  </si>
  <si>
    <t>x &gt;=1,10</t>
  </si>
  <si>
    <t>x = 1</t>
  </si>
  <si>
    <t>[0,90…1,10]</t>
  </si>
  <si>
    <t>Rating 1 - 5</t>
  </si>
  <si>
    <t>Well - Being</t>
  </si>
  <si>
    <t>A</t>
  </si>
  <si>
    <t>M</t>
  </si>
  <si>
    <t>R</t>
  </si>
  <si>
    <t>S</t>
  </si>
  <si>
    <t>T</t>
  </si>
  <si>
    <t>Progress tracker</t>
  </si>
  <si>
    <t>Well-Being</t>
  </si>
  <si>
    <t>60 - 70</t>
  </si>
  <si>
    <t>50 - 59</t>
  </si>
  <si>
    <t>40- 49</t>
  </si>
  <si>
    <t>20 - 39</t>
  </si>
  <si>
    <t>0 - 19</t>
  </si>
  <si>
    <t>Rating</t>
  </si>
  <si>
    <t>Always or almost always</t>
  </si>
  <si>
    <t>Often</t>
  </si>
  <si>
    <t>Sometimes</t>
  </si>
  <si>
    <t>Seldom</t>
  </si>
  <si>
    <t>Never or almost never</t>
  </si>
  <si>
    <t>Problem Solving</t>
  </si>
  <si>
    <t>In questa giornata…</t>
  </si>
  <si>
    <t>Risk Matrix</t>
  </si>
  <si>
    <t>Caused by &amp; Consequences</t>
  </si>
  <si>
    <t>Probability</t>
  </si>
  <si>
    <t>Impact</t>
  </si>
  <si>
    <t>Very Low</t>
  </si>
  <si>
    <t>Low</t>
  </si>
  <si>
    <t>Medium</t>
  </si>
  <si>
    <t>High</t>
  </si>
  <si>
    <t>Very High</t>
  </si>
  <si>
    <t>Moderate</t>
  </si>
  <si>
    <t>Severe</t>
  </si>
  <si>
    <t>Critical</t>
  </si>
  <si>
    <t>Sustainable</t>
  </si>
  <si>
    <t>Battery Level</t>
  </si>
  <si>
    <t>Totale</t>
  </si>
  <si>
    <t>⚡</t>
  </si>
  <si>
    <t>🧠</t>
  </si>
  <si>
    <t>🌿</t>
  </si>
  <si>
    <t>✨</t>
  </si>
  <si>
    <t>📚</t>
  </si>
  <si>
    <t>0 - 21</t>
  </si>
  <si>
    <t>22 - 42</t>
  </si>
  <si>
    <t>43 - 63</t>
  </si>
  <si>
    <t>64 - 84</t>
  </si>
  <si>
    <t>85 - 105</t>
  </si>
  <si>
    <t>0</t>
  </si>
  <si>
    <t>5</t>
  </si>
  <si>
    <t>9</t>
  </si>
  <si>
    <t>13</t>
  </si>
  <si>
    <t>18</t>
  </si>
  <si>
    <t>Range Level</t>
  </si>
  <si>
    <t>January</t>
  </si>
  <si>
    <t>February</t>
  </si>
  <si>
    <t>March</t>
  </si>
  <si>
    <t>April</t>
  </si>
  <si>
    <t>May</t>
  </si>
  <si>
    <t>June</t>
  </si>
  <si>
    <t>July</t>
  </si>
  <si>
    <t>August</t>
  </si>
  <si>
    <t>September</t>
  </si>
  <si>
    <t>October</t>
  </si>
  <si>
    <t>November</t>
  </si>
  <si>
    <t>December</t>
  </si>
  <si>
    <t>It's hard to say what I really think</t>
  </si>
  <si>
    <t>I often do what others want rather than what I want to do</t>
  </si>
  <si>
    <t>Criticism makes me feel uncomfortable</t>
  </si>
  <si>
    <t>Sometimes I act aggressive</t>
  </si>
  <si>
    <t>I find it really hard to say no to people</t>
  </si>
  <si>
    <t>I often get what I want by demanding it, making others feel guilty, or taking it personally</t>
  </si>
  <si>
    <t>Pleasing other people helps me feel better about myself</t>
  </si>
  <si>
    <t>I often say ''I apologize, I'm sorry'' even when it's not my fault</t>
  </si>
  <si>
    <t>I tend to think that other people are more important than me</t>
  </si>
  <si>
    <t>I find it really hard to speak in front of a group of people or in a meeting</t>
  </si>
  <si>
    <t>Assessment Scale Degree of Assertiveness</t>
  </si>
  <si>
    <t>Purposes and Life Constraints</t>
  </si>
  <si>
    <t>What do you love?</t>
  </si>
  <si>
    <t>What does the world need?</t>
  </si>
  <si>
    <t>What can you get paid for?</t>
  </si>
  <si>
    <t>What can you do?</t>
  </si>
  <si>
    <t>Mission</t>
  </si>
  <si>
    <t>Passion</t>
  </si>
  <si>
    <t>Vocation</t>
  </si>
  <si>
    <t>Profession</t>
  </si>
  <si>
    <r>
      <t xml:space="preserve">Identikit - </t>
    </r>
    <r>
      <rPr>
        <b/>
        <i/>
        <sz val="13"/>
        <color theme="3"/>
        <rFont val="Times New Roman"/>
        <family val="1"/>
      </rPr>
      <t>Your name</t>
    </r>
  </si>
  <si>
    <t>Rest</t>
  </si>
  <si>
    <t>Studying</t>
  </si>
  <si>
    <t>Personal Projects</t>
  </si>
  <si>
    <t>Family</t>
  </si>
  <si>
    <t>Free time</t>
  </si>
  <si>
    <t>Freetime</t>
  </si>
  <si>
    <t>Activity</t>
  </si>
  <si>
    <t>Weight</t>
  </si>
  <si>
    <t>Hours spent</t>
  </si>
  <si>
    <t>Points</t>
  </si>
  <si>
    <t>Points range</t>
  </si>
  <si>
    <t>Monday</t>
  </si>
  <si>
    <t>Tuesday</t>
  </si>
  <si>
    <t>Wednesday</t>
  </si>
  <si>
    <t>Thursday</t>
  </si>
  <si>
    <t>Friday</t>
  </si>
  <si>
    <t>Saturday</t>
  </si>
  <si>
    <t>Sunday</t>
  </si>
  <si>
    <t>Today</t>
  </si>
  <si>
    <t>Update</t>
  </si>
  <si>
    <t>Activities and Rating Scale Table</t>
  </si>
  <si>
    <t>Legend</t>
  </si>
  <si>
    <t>Mental</t>
  </si>
  <si>
    <t>Social</t>
  </si>
  <si>
    <t>Spiritual Balance</t>
  </si>
  <si>
    <t>Summary</t>
  </si>
  <si>
    <t>Range</t>
  </si>
  <si>
    <t>Well-Being Analysis</t>
  </si>
  <si>
    <t>⚡  PHYSICAL</t>
  </si>
  <si>
    <t>🧠  MENTAL</t>
  </si>
  <si>
    <t>🌿  SOCIAL</t>
  </si>
  <si>
    <t>✨  SPIRITUAL</t>
  </si>
  <si>
    <t>📚  GROWTH</t>
  </si>
  <si>
    <t>Personal Growth</t>
  </si>
  <si>
    <t>Free Time</t>
  </si>
  <si>
    <t>Physical</t>
  </si>
  <si>
    <t>Welcome !</t>
  </si>
  <si>
    <r>
      <rPr>
        <b/>
        <sz val="16"/>
        <color theme="9" tint="-0.499984740745262"/>
        <rFont val="Times New Roman"/>
        <family val="1"/>
        <scheme val="minor"/>
      </rPr>
      <t>Welcome to the glossary of your Progress Tracker.</t>
    </r>
    <r>
      <rPr>
        <sz val="16"/>
        <color theme="1"/>
        <rFont val="Times New Roman"/>
        <family val="1"/>
        <scheme val="minor"/>
      </rPr>
      <t xml:space="preserve">
Take a few minutes to explore the structure and interface of the Excel file. For more detailed information, you can consult the official user guide provided in the Word document.
In this personal glossary, the first section is dedicated to navigating the settings of the </t>
    </r>
    <r>
      <rPr>
        <b/>
        <sz val="16"/>
        <color theme="9" tint="-0.499984740745262"/>
        <rFont val="Times New Roman"/>
        <family val="1"/>
        <scheme val="minor"/>
      </rPr>
      <t>Progress Tracker template</t>
    </r>
    <r>
      <rPr>
        <sz val="16"/>
        <color theme="1"/>
        <rFont val="Times New Roman"/>
        <family val="1"/>
        <scheme val="minor"/>
      </rPr>
      <t xml:space="preserve"> and </t>
    </r>
    <r>
      <rPr>
        <b/>
        <sz val="16"/>
        <color theme="9" tint="-0.499984740745262"/>
        <rFont val="Times New Roman"/>
        <family val="1"/>
        <scheme val="minor"/>
      </rPr>
      <t>Well-Being sheet</t>
    </r>
    <r>
      <rPr>
        <sz val="16"/>
        <color theme="1"/>
        <rFont val="Times New Roman"/>
        <family val="1"/>
        <scheme val="minor"/>
      </rPr>
      <t>. I've put some advices on when to put some activities and which ones are fit. You can understand the full potential of these sheets by trying them in their dedicated spaces. Moreover, use this file for your personal growth journey and for becoming more aware of the value of time and about taking action in your life. This file provides you with a risk assesment sheet in which you can identify of potential risks before they become concrete, otherwise identifying problems that came into reality and find a way on how to solve them. In this same sheet you can find some Problem Solving tools and tips for a better final result. This file was created for understanding the value of the time and for becoming more aware of it and increasing well-being with productivity. All the Inputs can be personalized for your needs. Check out the tutorial below or the document for more details.</t>
    </r>
  </si>
  <si>
    <t>Glossary - Well Being</t>
  </si>
  <si>
    <t>Glossary - Progress Tracker</t>
  </si>
  <si>
    <t>You had continuous, restful sleep without frequent awakenings. Check the box if you slept at least seven hours and did not experience major sleep difficulties. Sleep is the main predictor of energy, focus, and mood.</t>
  </si>
  <si>
    <t>You feel physical and mental vitality to approach the day proactively. Check the box when you do not feel drained and you feel motivated to move and perform well during the day. Energy is an immediate indicator of your physiological and mental state</t>
  </si>
  <si>
    <t>You ate in a regular, balanced way without excess. Check the box when you consumed your meals without unnecessary ingredients or meaningless overeating. Also remember to drink enough water. Nutrition is the fuel behind your well-being and energy levels.</t>
  </si>
  <si>
    <t>Your attention is stable and you do not feel scattered. Check the box when you can work without constant distractions and when you complete your daily tasks without excessive mental fatigue or procrastination. This also applies to necessary but less exciting activities.</t>
  </si>
  <si>
    <t>You feel calm, stable, and not agitated. Check the box when you do not experience fear, tension, or physical stress caused by recurring thoughts or intrusive worries. ADVICE: Use the APR Method when needed to address these situations.</t>
  </si>
  <si>
    <t>You know what you want to achieve today and feel oriented. Check the box when you have defined clear objectives for the day and identified your priorities. Intentionality increases motivation and a sense of control.</t>
  </si>
  <si>
    <t>You perceive support and positive relationships. Check the box when you experience pleasant or meaningful interactions and do not feel isolated. Even when alone, you can still feel connected by valuing your time with others.</t>
  </si>
  <si>
    <t>You look ahead with confidence and hope. Check the box if you feel that things can improve and you maintain a positive outlook on your goals and future. Occasional uncertainty is normal but should not lead to persistent pessimism.</t>
  </si>
  <si>
    <t>You feel enthusiasm or curiosity about what you will do. Check the box when you feel stimulated and motivated by your activities. Positive anticipation is a strong signal of emotional well-being.</t>
  </si>
  <si>
    <t>You spent time meditating, practicing mindful breathing, or praying. Check the box when you intentionally dedicate a reasonable amount of time to calming your mind and reconnecting with yourself or your spiritual dimension.</t>
  </si>
  <si>
    <t>Your actions were consistent with what you believe is right and important. Check the box when your decisions align with your values and principles and you did not make compromises that made you feel “off track.” Values alignment strengthens integrity and self-respect.</t>
  </si>
  <si>
    <t>You paid attention to the present moment and acknowledged what you appreciate. Check the box when you experienced positive moments during the day, expressed gratitude toward yourself or others, and did not live entirely on autopilot. Living is more than simply surviving.</t>
  </si>
  <si>
    <t>You dedicated time to reading a book of your choice, ideally in an immersive way. Reading stimulates the mind, improves concentration, and supports continuous learning.</t>
  </si>
  <si>
    <t>You spent time reflecting on yourself, your goals, or took a concrete step toward improvement. Check the box when you write in a journal, practice introspection, or take practical action toward a goal. Progress happens through small steps.</t>
  </si>
  <si>
    <t>You practiced or learned a new or existing skill. Check the box when you study something technical or practical through exercises, courses, or deliberate practice. Developing skills increases confidence, opportunities, and self-esteem.</t>
  </si>
  <si>
    <t>Sleep quality</t>
  </si>
  <si>
    <t>Energy level</t>
  </si>
  <si>
    <t>Nutrition</t>
  </si>
  <si>
    <t>Focus and concentration</t>
  </si>
  <si>
    <t>Emotional calm</t>
  </si>
  <si>
    <t>Intentionality</t>
  </si>
  <si>
    <t>Social connection</t>
  </si>
  <si>
    <t>Optimism about the future</t>
  </si>
  <si>
    <t>Motivation and curiosity</t>
  </si>
  <si>
    <t>Meditation or spiritual practice</t>
  </si>
  <si>
    <t>Values alignment</t>
  </si>
  <si>
    <t>Presence and gratitude</t>
  </si>
  <si>
    <t>Reading</t>
  </si>
  <si>
    <t>Self-reflection</t>
  </si>
  <si>
    <t>Skill development</t>
  </si>
  <si>
    <t xml:space="preserve">Physical Well-Being </t>
  </si>
  <si>
    <t>Mental Well-Being</t>
  </si>
  <si>
    <t>Social Well-Being</t>
  </si>
  <si>
    <t>When to use it</t>
  </si>
  <si>
    <t>Hours of continuous rest dedicated to physiological night sleep. Use this category only if the time slot is actually used for sleeping.</t>
  </si>
  <si>
    <t xml:space="preserve">Any structured physical activity aimed at fitness, health, or performance. </t>
  </si>
  <si>
    <t>Time dedicated to learning with academic or professional objectives.</t>
  </si>
  <si>
    <t>Custom hours target</t>
  </si>
  <si>
    <t xml:space="preserve">Custom activities </t>
  </si>
  <si>
    <t xml:space="preserve">Creative or productive work on initiatives that matter to you outside formal study or work.
</t>
  </si>
  <si>
    <t>Time intentionally dedicated to partners, children, or relatives for relational or organizational purposes.</t>
  </si>
  <si>
    <t xml:space="preserve">Activities that are not strictly productive but support recovery and daily well-being. You should include as well non-productive activities that must be done.
</t>
  </si>
  <si>
    <t>Regular night sleep, power naps, resting in bed due to illness.</t>
  </si>
  <si>
    <t>Workouts, running, gym sessions, sports activities with consistent effort or intensity.</t>
  </si>
  <si>
    <t>Examples of included activities</t>
  </si>
  <si>
    <t>University lectures, exam preparation, academic projects, individual or group study sessions.</t>
  </si>
  <si>
    <t>Developing personal projects (startups, blogs, side initiatives), personal development activities (reading, podcasts, educational videos), productive personal work.</t>
  </si>
  <si>
    <t>Family lunches or dinners, family leisure time, meaningful time spent with family members in person, online, or by phone.</t>
  </si>
  <si>
    <t>Personal care routines (shower, skincare, etc.), household chores, recreational activities, social outings with friends or partners, travel or commuting time, fixing the car.</t>
  </si>
  <si>
    <r>
      <rPr>
        <b/>
        <sz val="11"/>
        <color theme="1"/>
        <rFont val="Times New Roman"/>
        <family val="1"/>
        <scheme val="minor"/>
      </rPr>
      <t>1) The Standard Template of the Progress Tracker</t>
    </r>
    <r>
      <rPr>
        <sz val="11"/>
        <color theme="1"/>
        <rFont val="Times New Roman"/>
        <family val="1"/>
        <scheme val="minor"/>
      </rPr>
      <t xml:space="preserve"> is divided into six macro-areas: Sleep, Sport, Study, Personal Projects, Family Time, and Free Time.
Each area is associated with a numerical code (1–6) and a weekly target expressed in hours.
The specific activities belonging to each category are listed in the table above.
To fill in the tracker, simply enter the code of the main activity performed in each hourly time slot from Monday to Sunday.
The scores for each category and the overall weekly score are calculated automatically through pre-set formulas. Therefore, </t>
    </r>
    <r>
      <rPr>
        <b/>
        <sz val="11"/>
        <color theme="1"/>
        <rFont val="Times New Roman"/>
        <family val="1"/>
        <scheme val="minor"/>
      </rPr>
      <t>you only need to enter the correct activity code in the corresponding cell.</t>
    </r>
    <r>
      <rPr>
        <sz val="11"/>
        <color theme="1"/>
        <rFont val="Times New Roman"/>
        <family val="1"/>
        <scheme val="minor"/>
      </rPr>
      <t xml:space="preserve">
</t>
    </r>
    <r>
      <rPr>
        <b/>
        <sz val="11"/>
        <color theme="1"/>
        <rFont val="Times New Roman"/>
        <family val="1"/>
        <scheme val="minor"/>
      </rPr>
      <t>Weekly targets</t>
    </r>
    <r>
      <rPr>
        <sz val="11"/>
        <color theme="1"/>
        <rFont val="Times New Roman"/>
        <family val="1"/>
        <scheme val="minor"/>
      </rPr>
      <t xml:space="preserve"> and </t>
    </r>
    <r>
      <rPr>
        <b/>
        <sz val="11"/>
        <color theme="1"/>
        <rFont val="Times New Roman"/>
        <family val="1"/>
        <scheme val="minor"/>
      </rPr>
      <t>category weights</t>
    </r>
    <r>
      <rPr>
        <sz val="11"/>
        <color theme="1"/>
        <rFont val="Times New Roman"/>
        <family val="1"/>
        <scheme val="minor"/>
      </rPr>
      <t xml:space="preserve"> can be freely adjusted in the results table without modifying the formulas.
To change a goal, simply replace the value in the specific column. I remind you that also the activities are customizable based on your real needs.
At the end of each week, manually transfer the category scores and the total score into the “Weekly Progress” section for tracking your records.
To begin a new week, select the filled cells in the table and use the “</t>
    </r>
    <r>
      <rPr>
        <i/>
        <sz val="11"/>
        <color theme="1"/>
        <rFont val="Times New Roman"/>
        <family val="1"/>
        <scheme val="minor"/>
      </rPr>
      <t>Clear Contents</t>
    </r>
    <r>
      <rPr>
        <sz val="11"/>
        <color theme="1"/>
        <rFont val="Times New Roman"/>
        <family val="1"/>
        <scheme val="minor"/>
      </rPr>
      <t>” command to remove the previous data and start again with the new week.</t>
    </r>
  </si>
  <si>
    <r>
      <rPr>
        <b/>
        <sz val="11"/>
        <color theme="1"/>
        <rFont val="Times New Roman"/>
        <family val="1"/>
        <scheme val="minor"/>
      </rPr>
      <t>2) The Well-Being Template</t>
    </r>
    <r>
      <rPr>
        <sz val="11"/>
        <color theme="1"/>
        <rFont val="Times New Roman"/>
        <family val="1"/>
        <scheme val="minor"/>
      </rPr>
      <t xml:space="preserve"> is divided into five macro-areas, each containing three measurement inputs. The template is designed to assess the level of our personal “battery,” helping identify patterns where improvement is needed as well as activities or habits that could be introduced to achieve greater balance and well-being.
The file is very simple to complete, as it only requires checking a box when the condition is satisfied. Compared to the Progress Tracker, it requires a greater level of introspection and honest reflection about your emotional and physical state. For this reason, it also serves as a valuable tool to develop greater self-awareness.                                                                                                                                                                   The Well-Being template is supported by visual indicators that show whether the level reached by the satisfied conditions is more or less positive. It also includes a rating system from 1 to 5, similar to the one used in the Progress Tracker.
</t>
    </r>
    <r>
      <rPr>
        <b/>
        <sz val="11"/>
        <color theme="1"/>
        <rFont val="Times New Roman"/>
        <family val="1"/>
        <scheme val="minor"/>
      </rPr>
      <t>The only elements</t>
    </r>
    <r>
      <rPr>
        <sz val="11"/>
        <color theme="1"/>
        <rFont val="Times New Roman"/>
        <family val="1"/>
        <scheme val="minor"/>
      </rPr>
      <t xml:space="preserve"> that the user can modify are the weight assigned to each activity and the days of the week.</t>
    </r>
  </si>
  <si>
    <t>Weeks</t>
  </si>
  <si>
    <t>Strategic Direction - IKIGAI Inspired</t>
  </si>
  <si>
    <t>Risk Assesment &amp; Problem Solving</t>
  </si>
  <si>
    <t>Problem Matrix</t>
  </si>
  <si>
    <t>Feasibility</t>
  </si>
  <si>
    <r>
      <t xml:space="preserve">This sheet is designed to help you identify, assess, and manage risks and problems in a structured and methodical way.
The Risk Matrix evaluates each risk based on two dimensions: </t>
    </r>
    <r>
      <rPr>
        <b/>
        <sz val="14"/>
        <rFont val="Times New Roman"/>
        <family val="1"/>
        <scheme val="minor"/>
      </rPr>
      <t>Probability</t>
    </r>
    <r>
      <rPr>
        <sz val="14"/>
        <rFont val="Times New Roman"/>
        <family val="1"/>
        <scheme val="minor"/>
      </rPr>
      <t xml:space="preserve"> and </t>
    </r>
    <r>
      <rPr>
        <b/>
        <sz val="14"/>
        <rFont val="Times New Roman"/>
        <family val="1"/>
        <scheme val="minor"/>
      </rPr>
      <t>Impact</t>
    </r>
    <r>
      <rPr>
        <sz val="14"/>
        <rFont val="Times New Roman"/>
        <family val="1"/>
        <scheme val="minor"/>
      </rPr>
      <t xml:space="preserve">, and automatically assigns a severity level: </t>
    </r>
    <r>
      <rPr>
        <b/>
        <sz val="14"/>
        <rFont val="Times New Roman"/>
        <family val="1"/>
        <scheme val="minor"/>
      </rPr>
      <t xml:space="preserve">Sustainable, Moderate, Severe, </t>
    </r>
    <r>
      <rPr>
        <sz val="14"/>
        <rFont val="Times New Roman"/>
        <family val="1"/>
        <scheme val="minor"/>
      </rPr>
      <t>or</t>
    </r>
    <r>
      <rPr>
        <b/>
        <sz val="14"/>
        <rFont val="Times New Roman"/>
        <family val="1"/>
        <scheme val="minor"/>
      </rPr>
      <t xml:space="preserve"> Critical</t>
    </r>
    <r>
      <rPr>
        <sz val="14"/>
        <rFont val="Times New Roman"/>
        <family val="1"/>
        <scheme val="minor"/>
      </rPr>
      <t xml:space="preserve">. This gives you an immediate visual picture of which risks require urgent attention and which can be monitored over time. </t>
    </r>
  </si>
  <si>
    <r>
      <t xml:space="preserve">The </t>
    </r>
    <r>
      <rPr>
        <b/>
        <sz val="14"/>
        <color theme="1"/>
        <rFont val="Times New Roman"/>
        <family val="1"/>
        <scheme val="minor"/>
      </rPr>
      <t>Problem Solving</t>
    </r>
    <r>
      <rPr>
        <sz val="14"/>
        <color theme="1"/>
        <rFont val="Times New Roman"/>
        <family val="2"/>
        <scheme val="minor"/>
      </rPr>
      <t xml:space="preserve"> section allows you to log active issues, describe their root cause, and record the actions taken to resolve them. To support a structured approach to problem solving, the sheet includes a curated set of tools and frameworks, such as categorization matrices and root cause analysis, drawn from leading management methodologies. These are provided as practical starting points to help you move from problem identification to concrete resolution. The scale of assesment is the same used in the risk matrix and the table works in the same way. </t>
    </r>
  </si>
  <si>
    <t>(Name) Sheet - Building your profile</t>
  </si>
  <si>
    <t>How i can solve?</t>
  </si>
  <si>
    <t>Description</t>
  </si>
  <si>
    <t>Probability or Feasibility</t>
  </si>
  <si>
    <t>Target</t>
  </si>
  <si>
    <r>
      <rPr>
        <b/>
        <sz val="12"/>
        <color theme="1"/>
        <rFont val="Times New Roman"/>
        <family val="1"/>
        <scheme val="minor"/>
      </rPr>
      <t>Use this file in the way that best suits your needs</t>
    </r>
    <r>
      <rPr>
        <sz val="12"/>
        <color theme="1"/>
        <rFont val="Times New Roman"/>
        <family val="1"/>
        <scheme val="minor"/>
      </rPr>
      <t xml:space="preserve">. While filling it in, pay close attention to the level of objectivity with which you evaluate your days. Without honesty, the file loses much of its usefulness. Sometimes confronting reality is the only way to understand where our gaps truly lie!
At the same time, do not feel discouraged by the numbers. No one is perfect, and difficult periods are part of life. Ultimately, what matters most is feeling well and maintaining balance.
This file is structured to </t>
    </r>
    <r>
      <rPr>
        <b/>
        <sz val="12"/>
        <color theme="9" tint="-0.499984740745262"/>
        <rFont val="Times New Roman"/>
        <family val="1"/>
        <scheme val="minor"/>
      </rPr>
      <t>support you</t>
    </r>
    <r>
      <rPr>
        <sz val="12"/>
        <color theme="1"/>
        <rFont val="Times New Roman"/>
        <family val="1"/>
        <scheme val="minor"/>
      </rPr>
      <t xml:space="preserve"> along that path, but the results will ultimately depend on your actions and consistency.
I hope it helps you </t>
    </r>
    <r>
      <rPr>
        <b/>
        <sz val="12"/>
        <color theme="1"/>
        <rFont val="Times New Roman"/>
        <family val="1"/>
        <scheme val="minor"/>
      </rPr>
      <t>progress</t>
    </r>
    <r>
      <rPr>
        <sz val="12"/>
        <color theme="1"/>
        <rFont val="Times New Roman"/>
        <family val="1"/>
        <scheme val="minor"/>
      </rPr>
      <t xml:space="preserve"> and find the balance that can sustain your </t>
    </r>
    <r>
      <rPr>
        <b/>
        <sz val="12"/>
        <color theme="1"/>
        <rFont val="Times New Roman"/>
        <family val="1"/>
        <scheme val="minor"/>
      </rPr>
      <t>well-being</t>
    </r>
    <r>
      <rPr>
        <sz val="12"/>
        <color theme="1"/>
        <rFont val="Times New Roman"/>
        <family val="1"/>
        <scheme val="minor"/>
      </rPr>
      <t>. Have a great day.                                                                                                                     Discover all functions by trying!</t>
    </r>
  </si>
  <si>
    <t>Priority</t>
  </si>
  <si>
    <t>Status</t>
  </si>
  <si>
    <t>Status %</t>
  </si>
  <si>
    <r>
      <rPr>
        <b/>
        <sz val="10"/>
        <color theme="4" tint="-0.249977111117893"/>
        <rFont val="Times New Roman"/>
        <family val="1"/>
        <scheme val="minor"/>
      </rPr>
      <t>Specific</t>
    </r>
    <r>
      <rPr>
        <sz val="10"/>
        <color theme="4" tint="-0.249977111117893"/>
        <rFont val="Times New Roman"/>
        <family val="1"/>
        <scheme val="minor"/>
      </rPr>
      <t xml:space="preserve"> - Is the question specific enough? Your problem statement needs to be detailed enough for anyone involved to immediately grasp the exact challenge being addressed, without room for misinterpretation.</t>
    </r>
  </si>
  <si>
    <r>
      <rPr>
        <b/>
        <sz val="10"/>
        <color theme="4" tint="-0.249977111117893"/>
        <rFont val="Times New Roman"/>
        <family val="1"/>
        <scheme val="minor"/>
      </rPr>
      <t>Measurable</t>
    </r>
    <r>
      <rPr>
        <sz val="10"/>
        <color theme="4" tint="-0.249977111117893"/>
        <rFont val="Times New Roman"/>
        <family val="1"/>
        <scheme val="minor"/>
      </rPr>
      <t xml:space="preserve"> - A clear, quantifiable outcome will be your benchmark for knowing when the problem has actually been solved. Attach a concrete number or threshold to your statement so progress can be tracked objectively.</t>
    </r>
  </si>
  <si>
    <r>
      <rPr>
        <b/>
        <sz val="10"/>
        <color theme="4" tint="-0.249977111117893"/>
        <rFont val="Times New Roman"/>
        <family val="1"/>
        <scheme val="minor"/>
      </rPr>
      <t>Actionable</t>
    </r>
    <r>
      <rPr>
        <sz val="10"/>
        <color theme="4" tint="-0.249977111117893"/>
        <rFont val="Times New Roman"/>
        <family val="1"/>
        <scheme val="minor"/>
      </rPr>
      <t xml:space="preserve"> - The problem statement should point toward what needs to happen next. Frame it around action, using language like "How do we.." or "What do we need to do to.." so it drives decisions rather than just describing a situation.</t>
    </r>
  </si>
  <si>
    <r>
      <rPr>
        <b/>
        <sz val="10"/>
        <color theme="4" tint="-0.249977111117893"/>
        <rFont val="Times New Roman"/>
        <family val="1"/>
        <scheme val="minor"/>
      </rPr>
      <t>Relevant</t>
    </r>
    <r>
      <rPr>
        <sz val="10"/>
        <color theme="4" tint="-0.249977111117893"/>
        <rFont val="Times New Roman"/>
        <family val="1"/>
        <scheme val="minor"/>
      </rPr>
      <t xml:space="preserve"> - Your statement should resonate with everyone in the room: leadership, your team, and any other stakeholders involved. When the problem is framed in a way that aligns everyone around the same goal, solutions come faster and with less friction.</t>
    </r>
  </si>
  <si>
    <r>
      <rPr>
        <b/>
        <sz val="10"/>
        <color theme="4" tint="-0.249977111117893"/>
        <rFont val="Times New Roman"/>
        <family val="1"/>
        <scheme val="minor"/>
      </rPr>
      <t xml:space="preserve">Time Bound </t>
    </r>
    <r>
      <rPr>
        <sz val="10"/>
        <color theme="4" tint="-0.249977111117893"/>
        <rFont val="Times New Roman"/>
        <family val="1"/>
        <scheme val="minor"/>
      </rPr>
      <t>- Every problem statement needs a deadline. Defining a clear timeframe keeps solutions grounded in reality and ensures the team focuses on what is actually achievable within the window you have set.</t>
    </r>
  </si>
  <si>
    <r>
      <t xml:space="preserve">In the two sheets labeled </t>
    </r>
    <r>
      <rPr>
        <b/>
        <sz val="12"/>
        <color theme="1"/>
        <rFont val="Times New Roman"/>
        <family val="1"/>
        <scheme val="minor"/>
      </rPr>
      <t>(Name)</t>
    </r>
    <r>
      <rPr>
        <sz val="12"/>
        <color theme="1"/>
        <rFont val="Times New Roman"/>
        <family val="1"/>
        <scheme val="minor"/>
      </rPr>
      <t xml:space="preserve">, users can record personal details and use them as a reminder of their goals. This will be your personal space.
The first sheet is inspired by the </t>
    </r>
    <r>
      <rPr>
        <b/>
        <sz val="12"/>
        <color theme="1"/>
        <rFont val="Times New Roman"/>
        <family val="1"/>
        <scheme val="minor"/>
      </rPr>
      <t>Ikigai</t>
    </r>
    <r>
      <rPr>
        <sz val="12"/>
        <color theme="1"/>
        <rFont val="Times New Roman"/>
        <family val="1"/>
        <scheme val="minor"/>
      </rPr>
      <t xml:space="preserve"> framework and invites users to reflect on their sense of purpose by answering four core questions. After that, there is a list where users can write down their life goals as well as potential constraints. These items can be checked off once they are achieved or resolved. You can check your progress by the chart.
The second sheet includes a short test designed to measure your level of assertiveness. You will also find practical suggestions on how to design a routine and use the Progress Tracker effectively to refine your lifestyle and gradually find a better personal balance.
Possible updates to come in the future!</t>
    </r>
  </si>
  <si>
    <t>View some tips!</t>
  </si>
  <si>
    <t>More No</t>
  </si>
  <si>
    <t>More Yes</t>
  </si>
  <si>
    <t>Assertiveness - What it is and why it matters?</t>
  </si>
  <si>
    <t>For each statement, enter a number from 1 (Never) to 7 (Always) in the corresponding month column. Your total score and rating calculate automatically. Repeat monthly to track your progress over time.</t>
  </si>
  <si>
    <t>Describe the risk, its causes and consequences. Select Probability and Impact levels from the dropdowns, the Risk Rating populates automatically. Use the "How can I solve it?" column to plan your response.</t>
  </si>
  <si>
    <t>Log the hours spent on each activity for everyday of the week. Ratings update automatically</t>
  </si>
  <si>
    <t>Your scores calculate automatically from your Weekly Progress inputs. No manual entry needed here, just read and reflect on your battery level across each dimension.</t>
  </si>
  <si>
    <t>Insert description, priority, status and its %. Progress bar updates automatically.</t>
  </si>
  <si>
    <t>WHY IT MATTERS
• Builds healthier relationships at work and in personal life
• Reduces internal stress from unexpressed needs and resentment
• Strengthens leadership presence and decision-making
• Directly linked to higher well-being and self-confidence
FOCUS AREAS TO IMPROVE
• Saying no clearly and without guilt
• Expressing opinions in group settings
• Setting and defending your personal boundaries
• Distinguishing your needs from others' expectations</t>
  </si>
  <si>
    <t>Assertiveness is the ability to express your thoughts, needs and boundaries clearly and respectfully, without being passive (giving in) or aggressive (imposing on others) - It sits at the intersection of self-respect and respect for others: you communicate what you need while remaining open to dialogue.</t>
  </si>
  <si>
    <r>
      <t xml:space="preserve">Are you stuck in a bad or non satisfactory routine? Don't worry and read this:                                                      Repeating a behavior consistently, usually over 4 to 8 weeks, is what turns it into a habit.                                       But time alone isn't enough. </t>
    </r>
    <r>
      <rPr>
        <b/>
        <sz val="11"/>
        <color theme="4" tint="-0.249977111117893"/>
        <rFont val="Times New Roman"/>
        <family val="1"/>
        <scheme val="minor"/>
      </rPr>
      <t>You need to design the path.</t>
    </r>
    <r>
      <rPr>
        <sz val="11"/>
        <color theme="4" tint="-0.249977111117893"/>
        <rFont val="Times New Roman"/>
        <family val="2"/>
        <scheme val="minor"/>
      </rPr>
      <t xml:space="preserve">
🔔 Cue: What will trigger this habit?
Set a specific reminder: a calendar alert, a physical object on your desk, or a fixed time in your week.
⚙️ Routine: What exactly will you do?
Define the steps clearly. Keep it simple enough that starting feels effortless.
🏆 Reward: What will make it feel good?
It can be the progress itself, a small treat, or simply marking it done. </t>
    </r>
    <r>
      <rPr>
        <b/>
        <sz val="11"/>
        <color theme="4" tint="-0.249977111117893"/>
        <rFont val="Times New Roman"/>
        <family val="1"/>
        <scheme val="minor"/>
      </rPr>
      <t>The reward reinforces the process</t>
    </r>
    <r>
      <rPr>
        <sz val="11"/>
        <color theme="4" tint="-0.249977111117893"/>
        <rFont val="Times New Roman"/>
        <family val="2"/>
        <scheme val="minor"/>
      </rPr>
      <t>.
The behaviors you track weekly in this sheet are your routines in progress. Define your cue and reward for each one and watch them stick. Feel free to customize your activities and hour targets in the Progress Tracker and turn your ideas into action.</t>
    </r>
  </si>
  <si>
    <r>
      <t xml:space="preserve">Before starting a new skill, task, or development activity, pause briefly to set a clear intention rather than simply aiming to complete a task.
Three guiding principles:
</t>
    </r>
    <r>
      <rPr>
        <i/>
        <sz val="11"/>
        <color theme="4" tint="-0.249977111117893"/>
        <rFont val="Times New Roman"/>
        <family val="1"/>
        <scheme val="minor"/>
      </rPr>
      <t>Prepare:</t>
    </r>
    <r>
      <rPr>
        <sz val="11"/>
        <color theme="4" tint="-0.249977111117893"/>
        <rFont val="Times New Roman"/>
        <family val="2"/>
        <scheme val="minor"/>
      </rPr>
      <t xml:space="preserve"> Decide in advance what you want to explore or understand, not only what you want to finish.
</t>
    </r>
    <r>
      <rPr>
        <i/>
        <sz val="11"/>
        <color theme="4" tint="-0.249977111117893"/>
        <rFont val="Times New Roman"/>
        <family val="1"/>
        <scheme val="minor"/>
      </rPr>
      <t>Execute:</t>
    </r>
    <r>
      <rPr>
        <sz val="11"/>
        <color theme="4" tint="-0.249977111117893"/>
        <rFont val="Times New Roman"/>
        <family val="2"/>
        <scheme val="minor"/>
      </rPr>
      <t xml:space="preserve"> Stay present during the activity and focus on the process, the curiosity, and the small insights that emerge along the way.
</t>
    </r>
    <r>
      <rPr>
        <i/>
        <sz val="11"/>
        <color theme="4" tint="-0.249977111117893"/>
        <rFont val="Times New Roman"/>
        <family val="1"/>
        <scheme val="minor"/>
      </rPr>
      <t>Reflect:</t>
    </r>
    <r>
      <rPr>
        <sz val="11"/>
        <color theme="4" tint="-0.249977111117893"/>
        <rFont val="Times New Roman"/>
        <family val="2"/>
        <scheme val="minor"/>
      </rPr>
      <t xml:space="preserve"> At the end of the session, ask yourself: What did I learn? What surprised me? What could I improve next time?
</t>
    </r>
  </si>
  <si>
    <r>
      <t xml:space="preserve">Do you struggle to find a way to solve your problems or anticipate potential risks? Use the SMART method to help structure, categorize, and address threats more effectively. </t>
    </r>
    <r>
      <rPr>
        <i/>
        <sz val="10"/>
        <color theme="4" tint="-0.249977111117893"/>
        <rFont val="Times New Roman"/>
        <family val="1"/>
        <scheme val="minor"/>
      </rPr>
      <t>There are many useful tools for problem solving, but this is the one I personally prefer to use.</t>
    </r>
  </si>
  <si>
    <r>
      <rPr>
        <b/>
        <sz val="11"/>
        <color theme="4" tint="-0.249977111117893"/>
        <rFont val="Times New Roman"/>
        <family val="1"/>
        <scheme val="minor"/>
      </rPr>
      <t>Key idea:</t>
    </r>
    <r>
      <rPr>
        <i/>
        <sz val="11"/>
        <color theme="4" tint="-0.249977111117893"/>
        <rFont val="Times New Roman"/>
        <family val="1"/>
        <scheme val="minor"/>
      </rPr>
      <t xml:space="preserve">
</t>
    </r>
    <r>
      <rPr>
        <sz val="11"/>
        <color theme="4" tint="-0.249977111117893"/>
        <rFont val="Times New Roman"/>
        <family val="1"/>
        <scheme val="minor"/>
      </rPr>
      <t xml:space="preserve">Focus on the learning process, not only on the final result. A learning intention supports growth and engagement rather than simple task completion.                                                                            </t>
    </r>
    <r>
      <rPr>
        <i/>
        <sz val="11"/>
        <color theme="4" tint="-0.249977111117893"/>
        <rFont val="Times New Roman"/>
        <family val="1"/>
        <scheme val="minor"/>
      </rPr>
      <t>Link it to something personally meaningful.</t>
    </r>
    <r>
      <rPr>
        <sz val="11"/>
        <color theme="4" tint="-0.249977111117893"/>
        <rFont val="Times New Roman"/>
        <family val="2"/>
        <scheme val="minor"/>
      </rPr>
      <t xml:space="preserve">
</t>
    </r>
  </si>
  <si>
    <t>A Simple Mindset Reset Tool</t>
  </si>
  <si>
    <r>
      <t xml:space="preserve">When you notice you're stuck, reactive, or operating on autopilot, use the this method to shift your mindset intentionally.
</t>
    </r>
    <r>
      <rPr>
        <b/>
        <sz val="10"/>
        <color theme="4" tint="-0.249977111117893"/>
        <rFont val="Times New Roman"/>
        <family val="1"/>
        <scheme val="minor"/>
      </rPr>
      <t>Be Aware</t>
    </r>
    <r>
      <rPr>
        <sz val="10"/>
        <color theme="4" tint="-0.249977111117893"/>
        <rFont val="Times New Roman"/>
        <family val="2"/>
        <scheme val="minor"/>
      </rPr>
      <t xml:space="preserve"> → Step back and look inward. Identify the emotion or the thought pattern you are experiencing.
Ask yourself: "</t>
    </r>
    <r>
      <rPr>
        <i/>
        <sz val="10"/>
        <color theme="4" tint="-0.249977111117893"/>
        <rFont val="Times New Roman"/>
        <family val="1"/>
        <scheme val="minor"/>
      </rPr>
      <t>What is actually happening right now? What internal narrative is driving my reaction</t>
    </r>
    <r>
      <rPr>
        <sz val="10"/>
        <color theme="4" tint="-0.249977111117893"/>
        <rFont val="Times New Roman"/>
        <family val="2"/>
        <scheme val="minor"/>
      </rPr>
      <t xml:space="preserve">?"
</t>
    </r>
    <r>
      <rPr>
        <b/>
        <sz val="10"/>
        <color theme="4" tint="-0.249977111117893"/>
        <rFont val="Times New Roman"/>
        <family val="1"/>
        <scheme val="minor"/>
      </rPr>
      <t>Pause</t>
    </r>
    <r>
      <rPr>
        <sz val="10"/>
        <color theme="4" tint="-0.249977111117893"/>
        <rFont val="Times New Roman"/>
        <family val="2"/>
        <scheme val="minor"/>
      </rPr>
      <t xml:space="preserve"> → Interrupt the moment. Take a few slow breaths, step back for a moment, or briefly meditate. Create space between the stimulus and your response.
</t>
    </r>
    <r>
      <rPr>
        <b/>
        <sz val="10"/>
        <color theme="4" tint="-0.249977111117893"/>
        <rFont val="Times New Roman"/>
        <family val="1"/>
        <scheme val="minor"/>
      </rPr>
      <t>Reframe</t>
    </r>
    <r>
      <rPr>
        <sz val="10"/>
        <color theme="4" tint="-0.249977111117893"/>
        <rFont val="Times New Roman"/>
        <family val="2"/>
        <scheme val="minor"/>
      </rPr>
      <t xml:space="preserve"> → Change the way you look at a challenge to find a constructive path forward. Ask yourself: ''</t>
    </r>
    <r>
      <rPr>
        <i/>
        <sz val="10"/>
        <color theme="4" tint="-0.249977111117893"/>
        <rFont val="Times New Roman"/>
        <family val="1"/>
        <scheme val="minor"/>
      </rPr>
      <t>What opportunities would open up if I shifted my perspective here</t>
    </r>
    <r>
      <rPr>
        <sz val="10"/>
        <color theme="4" tint="-0.249977111117893"/>
        <rFont val="Times New Roman"/>
        <family val="2"/>
        <scheme val="minor"/>
      </rPr>
      <t>?''
It can be used in the moment when you feel overwhelmed, but also as a reflection tool, especially when your well-being score is 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</si>
</sst>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000"/>
    <numFmt numFmtId="166" formatCode="0.0"/>
    <numFmt numFmtId="167" formatCode="[$-409]h:mm\ AM/PM;@"/>
  </numFmts>
  <fonts count="80" x14ac:knownFonts="1">
    <font>
      <sz val="11"/>
      <color theme="1"/>
      <name val="Times New Roman"/>
      <family val="2"/>
      <scheme val="minor"/>
    </font>
    <font>
      <sz val="11"/>
      <color theme="1"/>
      <name val="Times New Roman"/>
      <family val="2"/>
    </font>
    <font>
      <sz val="11"/>
      <color theme="1"/>
      <name val="Times New Roman"/>
      <family val="2"/>
    </font>
    <font>
      <sz val="11"/>
      <color theme="1"/>
      <name val="Times New Roman"/>
      <family val="2"/>
    </font>
    <font>
      <sz val="11"/>
      <color theme="0"/>
      <name val="Times New Roman"/>
      <family val="2"/>
    </font>
    <font>
      <sz val="8"/>
      <name val="Times New Roman"/>
      <family val="2"/>
      <scheme val="minor"/>
    </font>
    <font>
      <b/>
      <sz val="11"/>
      <color theme="1"/>
      <name val="Times New Roman"/>
      <family val="2"/>
      <scheme val="minor"/>
    </font>
    <font>
      <sz val="14"/>
      <color theme="1"/>
      <name val="Times New Roman"/>
      <family val="2"/>
      <scheme val="minor"/>
    </font>
    <font>
      <i/>
      <sz val="11"/>
      <color theme="1"/>
      <name val="Times New Roman"/>
      <family val="1"/>
      <scheme val="minor"/>
    </font>
    <font>
      <sz val="11"/>
      <color rgb="FF002060"/>
      <name val="Times New Roman"/>
      <family val="2"/>
      <scheme val="minor"/>
    </font>
    <font>
      <b/>
      <sz val="11"/>
      <color rgb="FF3F3F3F"/>
      <name val="Times New Roman"/>
      <family val="2"/>
    </font>
    <font>
      <b/>
      <sz val="11"/>
      <color theme="1"/>
      <name val="Times New Roman"/>
      <family val="1"/>
      <scheme val="minor"/>
    </font>
    <font>
      <b/>
      <sz val="9"/>
      <color theme="1"/>
      <name val="Times New Roman"/>
      <family val="2"/>
      <scheme val="minor"/>
    </font>
    <font>
      <b/>
      <sz val="24"/>
      <color theme="1"/>
      <name val="Times New Roman"/>
      <family val="1"/>
      <scheme val="minor"/>
    </font>
    <font>
      <b/>
      <sz val="12"/>
      <color theme="0"/>
      <name val="Times New Roman"/>
      <family val="2"/>
      <scheme val="minor"/>
    </font>
    <font>
      <sz val="12"/>
      <color theme="1"/>
      <name val="Times New Roman"/>
      <family val="2"/>
      <scheme val="minor"/>
    </font>
    <font>
      <b/>
      <sz val="11"/>
      <color theme="3"/>
      <name val="Times New Roman"/>
      <family val="2"/>
    </font>
    <font>
      <b/>
      <sz val="11"/>
      <color theme="1"/>
      <name val="Times New Roman"/>
      <family val="2"/>
    </font>
    <font>
      <sz val="8"/>
      <color theme="1"/>
      <name val="Times New Roman"/>
      <family val="2"/>
    </font>
    <font>
      <b/>
      <sz val="13"/>
      <color theme="3"/>
      <name val="Times New Roman"/>
      <family val="2"/>
    </font>
    <font>
      <b/>
      <sz val="12"/>
      <color theme="1"/>
      <name val="Times New Roman"/>
      <family val="1"/>
      <scheme val="minor"/>
    </font>
    <font>
      <sz val="9"/>
      <color theme="1"/>
      <name val="Times New Roman"/>
      <family val="2"/>
      <scheme val="minor"/>
    </font>
    <font>
      <sz val="10"/>
      <color theme="1"/>
      <name val="Times New Roman"/>
      <family val="2"/>
      <scheme val="minor"/>
    </font>
    <font>
      <b/>
      <sz val="16"/>
      <color theme="1"/>
      <name val="Times New Roman"/>
      <family val="1"/>
      <scheme val="minor"/>
    </font>
    <font>
      <i/>
      <u/>
      <sz val="11"/>
      <color theme="1"/>
      <name val="Times New Roman"/>
      <family val="1"/>
      <scheme val="minor"/>
    </font>
    <font>
      <sz val="11"/>
      <color theme="1"/>
      <name val="Times New Roman"/>
      <family val="2"/>
      <scheme val="minor"/>
    </font>
    <font>
      <u/>
      <sz val="12"/>
      <color theme="1"/>
      <name val="Times New Roman"/>
      <family val="2"/>
      <scheme val="minor"/>
    </font>
    <font>
      <sz val="10"/>
      <color theme="1"/>
      <name val="Times New Roman"/>
      <family val="1"/>
      <scheme val="minor"/>
    </font>
    <font>
      <sz val="11"/>
      <color theme="1"/>
      <name val="Times New Roman"/>
      <family val="1"/>
      <scheme val="minor"/>
    </font>
    <font>
      <b/>
      <sz val="18"/>
      <color theme="9" tint="-0.249977111117893"/>
      <name val="Times New Roman"/>
      <family val="1"/>
      <scheme val="minor"/>
    </font>
    <font>
      <b/>
      <sz val="14"/>
      <color theme="1"/>
      <name val="Times New Roman"/>
      <family val="1"/>
      <scheme val="minor"/>
    </font>
    <font>
      <b/>
      <sz val="18"/>
      <color theme="0"/>
      <name val="Times New Roman"/>
      <family val="2"/>
      <scheme val="minor"/>
    </font>
    <font>
      <sz val="18"/>
      <color theme="1"/>
      <name val="Times New Roman"/>
      <family val="2"/>
      <scheme val="minor"/>
    </font>
    <font>
      <sz val="22"/>
      <color theme="1"/>
      <name val="Times New Roman"/>
      <family val="2"/>
      <scheme val="minor"/>
    </font>
    <font>
      <sz val="12"/>
      <name val="Times New Roman"/>
      <family val="2"/>
      <scheme val="minor"/>
    </font>
    <font>
      <b/>
      <sz val="15"/>
      <color theme="3"/>
      <name val="Times New Roman"/>
      <family val="2"/>
    </font>
    <font>
      <b/>
      <sz val="12"/>
      <color theme="1"/>
      <name val="Times New Roman"/>
      <family val="2"/>
      <scheme val="minor"/>
    </font>
    <font>
      <b/>
      <sz val="18"/>
      <color theme="9" tint="-0.499984740745262"/>
      <name val="Times New Roman"/>
      <family val="1"/>
      <scheme val="minor"/>
    </font>
    <font>
      <b/>
      <sz val="9"/>
      <color theme="3" tint="-0.249977111117893"/>
      <name val="Times New Roman"/>
      <family val="1"/>
      <scheme val="minor"/>
    </font>
    <font>
      <b/>
      <sz val="12"/>
      <color theme="3" tint="-0.249977111117893"/>
      <name val="Times New Roman"/>
      <family val="1"/>
      <scheme val="minor"/>
    </font>
    <font>
      <b/>
      <sz val="9"/>
      <color theme="9" tint="-0.249977111117893"/>
      <name val="Times New Roman"/>
      <family val="1"/>
      <scheme val="minor"/>
    </font>
    <font>
      <b/>
      <sz val="9"/>
      <color theme="6" tint="-0.249977111117893"/>
      <name val="Times New Roman"/>
      <family val="1"/>
      <scheme val="minor"/>
    </font>
    <font>
      <sz val="9"/>
      <color theme="6" tint="-0.249977111117893"/>
      <name val="Times New Roman"/>
      <family val="1"/>
      <scheme val="minor"/>
    </font>
    <font>
      <b/>
      <sz val="10"/>
      <color theme="7" tint="-0.249977111117893"/>
      <name val="Times New Roman"/>
      <family val="1"/>
      <scheme val="minor"/>
    </font>
    <font>
      <b/>
      <sz val="12"/>
      <color theme="9" tint="-0.249977111117893"/>
      <name val="Times New Roman"/>
      <family val="1"/>
      <scheme val="minor"/>
    </font>
    <font>
      <b/>
      <sz val="12"/>
      <color theme="6" tint="-0.249977111117893"/>
      <name val="Times New Roman"/>
      <family val="1"/>
      <scheme val="minor"/>
    </font>
    <font>
      <sz val="12"/>
      <color theme="6" tint="-0.249977111117893"/>
      <name val="Times New Roman"/>
      <family val="1"/>
      <scheme val="minor"/>
    </font>
    <font>
      <b/>
      <sz val="12"/>
      <color theme="7" tint="-0.249977111117893"/>
      <name val="Times New Roman"/>
      <family val="1"/>
      <scheme val="minor"/>
    </font>
    <font>
      <b/>
      <sz val="10"/>
      <color theme="1"/>
      <name val="Times New Roman"/>
      <family val="1"/>
    </font>
    <font>
      <b/>
      <sz val="10"/>
      <color rgb="FF0F172A"/>
      <name val="Arial"/>
      <family val="2"/>
    </font>
    <font>
      <b/>
      <sz val="10"/>
      <color rgb="FF0F172A"/>
      <name val="Times New Roman"/>
      <family val="1"/>
      <scheme val="minor"/>
    </font>
    <font>
      <b/>
      <sz val="9"/>
      <color rgb="FF0F172A"/>
      <name val="Arial"/>
      <family val="2"/>
    </font>
    <font>
      <sz val="10"/>
      <color theme="4" tint="-0.249977111117893"/>
      <name val="Times New Roman"/>
      <family val="1"/>
      <scheme val="minor"/>
    </font>
    <font>
      <b/>
      <sz val="10"/>
      <color theme="4" tint="-0.249977111117893"/>
      <name val="Times New Roman"/>
      <family val="1"/>
      <scheme val="minor"/>
    </font>
    <font>
      <b/>
      <sz val="11"/>
      <color theme="9" tint="-0.499984740745262"/>
      <name val="Times New Roman"/>
      <family val="1"/>
      <scheme val="minor"/>
    </font>
    <font>
      <b/>
      <i/>
      <sz val="13"/>
      <color theme="3"/>
      <name val="Times New Roman"/>
      <family val="1"/>
    </font>
    <font>
      <i/>
      <sz val="11"/>
      <color rgb="FF7F7F7F"/>
      <name val="Times New Roman"/>
      <family val="2"/>
    </font>
    <font>
      <sz val="12"/>
      <color theme="1"/>
      <name val="Times New Roman"/>
      <family val="1"/>
      <scheme val="minor"/>
    </font>
    <font>
      <sz val="16"/>
      <color theme="1"/>
      <name val="Times New Roman"/>
      <family val="1"/>
      <scheme val="minor"/>
    </font>
    <font>
      <b/>
      <i/>
      <sz val="48"/>
      <color theme="9" tint="-0.499984740745262"/>
      <name val="Times New Roman"/>
      <family val="1"/>
      <scheme val="major"/>
    </font>
    <font>
      <b/>
      <sz val="12"/>
      <color theme="9" tint="-0.499984740745262"/>
      <name val="Times New Roman"/>
      <family val="1"/>
      <scheme val="minor"/>
    </font>
    <font>
      <b/>
      <sz val="16"/>
      <color theme="9" tint="-0.499984740745262"/>
      <name val="Times New Roman"/>
      <family val="1"/>
      <scheme val="minor"/>
    </font>
    <font>
      <sz val="10"/>
      <name val="Times New Roman"/>
      <family val="2"/>
      <scheme val="minor"/>
    </font>
    <font>
      <sz val="11"/>
      <name val="Times New Roman"/>
      <family val="2"/>
      <scheme val="minor"/>
    </font>
    <font>
      <sz val="14"/>
      <name val="Times New Roman"/>
      <family val="1"/>
      <scheme val="minor"/>
    </font>
    <font>
      <b/>
      <sz val="14"/>
      <name val="Times New Roman"/>
      <family val="1"/>
      <scheme val="minor"/>
    </font>
    <font>
      <b/>
      <sz val="12"/>
      <color theme="3"/>
      <name val="Times New Roman"/>
      <family val="2"/>
    </font>
    <font>
      <sz val="16"/>
      <color rgb="FF00B0F0"/>
      <name val="Times New Roman"/>
      <family val="2"/>
      <scheme val="minor"/>
    </font>
    <font>
      <b/>
      <sz val="8"/>
      <color theme="1"/>
      <name val="Times New Roman"/>
      <family val="1"/>
    </font>
    <font>
      <sz val="11"/>
      <color theme="4" tint="-0.249977111117893"/>
      <name val="Times New Roman"/>
      <family val="2"/>
      <scheme val="minor"/>
    </font>
    <font>
      <b/>
      <sz val="11"/>
      <color theme="4" tint="-0.249977111117893"/>
      <name val="Times New Roman"/>
      <family val="1"/>
      <scheme val="minor"/>
    </font>
    <font>
      <sz val="11"/>
      <color theme="4" tint="-0.249977111117893"/>
      <name val="Times New Roman"/>
      <family val="1"/>
      <scheme val="minor"/>
    </font>
    <font>
      <i/>
      <sz val="11"/>
      <color theme="4" tint="-0.249977111117893"/>
      <name val="Times New Roman"/>
      <family val="1"/>
      <scheme val="minor"/>
    </font>
    <font>
      <b/>
      <sz val="18"/>
      <color theme="3"/>
      <name val="Times New Roman"/>
      <family val="2"/>
    </font>
    <font>
      <sz val="10"/>
      <color theme="4" tint="-0.249977111117893"/>
      <name val="Times New Roman"/>
      <family val="2"/>
      <scheme val="minor"/>
    </font>
    <font>
      <i/>
      <sz val="10"/>
      <color rgb="FF7F7F7F"/>
      <name val="Times New Roman"/>
      <family val="2"/>
    </font>
    <font>
      <b/>
      <sz val="24"/>
      <color theme="9" tint="-0.499984740745262"/>
      <name val="Times New Roman"/>
      <family val="1"/>
      <scheme val="minor"/>
    </font>
    <font>
      <b/>
      <i/>
      <sz val="11"/>
      <color theme="1"/>
      <name val="Times New Roman"/>
      <family val="1"/>
      <scheme val="minor"/>
    </font>
    <font>
      <sz val="16"/>
      <color theme="4" tint="-0.249977111117893"/>
      <name val="Times New Roman"/>
      <family val="1"/>
      <scheme val="minor"/>
    </font>
    <font>
      <i/>
      <sz val="10"/>
      <color theme="4" tint="-0.249977111117893"/>
      <name val="Times New Roman"/>
      <family val="1"/>
      <scheme val="minor"/>
    </font>
  </fonts>
  <fills count="39">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0" tint="-0.14999847407452621"/>
        <bgColor theme="0" tint="-0.14999847407452621"/>
      </patternFill>
    </fill>
    <fill>
      <patternFill patternType="solid">
        <fgColor rgb="FFF2F2F2"/>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6" tint="0.59999389629810485"/>
        <bgColor indexed="65"/>
      </patternFill>
    </fill>
    <fill>
      <patternFill patternType="solid">
        <fgColor theme="4" tint="0.79998168889431442"/>
        <bgColor indexed="65"/>
      </patternFill>
    </fill>
    <fill>
      <patternFill patternType="solid">
        <fgColor theme="8" tint="0.79998168889431442"/>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6A8EB8"/>
        <bgColor indexed="64"/>
      </patternFill>
    </fill>
    <fill>
      <patternFill patternType="solid">
        <fgColor rgb="FFFFF5D3"/>
        <bgColor indexed="64"/>
      </patternFill>
    </fill>
    <fill>
      <patternFill patternType="solid">
        <fgColor rgb="FFFAD2B8"/>
        <bgColor indexed="64"/>
      </patternFill>
    </fill>
    <fill>
      <patternFill patternType="solid">
        <fgColor rgb="FFFF888C"/>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CCCCFF"/>
        <bgColor indexed="64"/>
      </patternFill>
    </fill>
    <fill>
      <patternFill patternType="solid">
        <fgColor rgb="FF4ECDC4"/>
        <bgColor rgb="FF34D399"/>
      </patternFill>
    </fill>
    <fill>
      <patternFill patternType="solid">
        <fgColor rgb="FFA78BFA"/>
        <bgColor rgb="FFCC99FF"/>
      </patternFill>
    </fill>
    <fill>
      <patternFill patternType="solid">
        <fgColor rgb="FFF59E0B"/>
        <bgColor rgb="FFFFCC00"/>
      </patternFill>
    </fill>
    <fill>
      <patternFill patternType="solid">
        <fgColor rgb="FFF472B6"/>
        <bgColor rgb="FFFF99CC"/>
      </patternFill>
    </fill>
    <fill>
      <patternFill patternType="solid">
        <fgColor rgb="FF34D399"/>
        <bgColor rgb="FF4ECDC4"/>
      </patternFill>
    </fill>
    <fill>
      <patternFill patternType="solid">
        <fgColor rgb="FF83F0F3"/>
        <bgColor indexed="64"/>
      </patternFill>
    </fill>
    <fill>
      <patternFill patternType="solid">
        <fgColor rgb="FFFFCC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s>
  <borders count="103">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theme="1"/>
      </top>
      <bottom style="thin">
        <color theme="1"/>
      </bottom>
      <diagonal/>
    </border>
    <border>
      <left/>
      <right/>
      <top style="thin">
        <color theme="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3F3F3F"/>
      </left>
      <right style="thin">
        <color rgb="FF3F3F3F"/>
      </right>
      <top style="thin">
        <color rgb="FF3F3F3F"/>
      </top>
      <bottom style="thin">
        <color rgb="FF3F3F3F"/>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thin">
        <color indexed="64"/>
      </top>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style="medium">
        <color indexed="64"/>
      </right>
      <top/>
      <bottom/>
      <diagonal/>
    </border>
    <border>
      <left style="thin">
        <color theme="8" tint="0.39997558519241921"/>
      </left>
      <right/>
      <top style="thin">
        <color theme="8" tint="0.39997558519241921"/>
      </top>
      <bottom/>
      <diagonal/>
    </border>
    <border>
      <left style="thin">
        <color theme="8" tint="0.39997558519241921"/>
      </left>
      <right style="thin">
        <color theme="8" tint="0.39997558519241921"/>
      </right>
      <top style="thin">
        <color theme="8" tint="0.39997558519241921"/>
      </top>
      <bottom/>
      <diagonal/>
    </border>
    <border>
      <left style="thin">
        <color theme="8" tint="0.39997558519241921"/>
      </left>
      <right/>
      <top style="medium">
        <color indexed="64"/>
      </top>
      <bottom/>
      <diagonal/>
    </border>
    <border>
      <left style="thin">
        <color indexed="64"/>
      </left>
      <right/>
      <top style="thin">
        <color theme="8" tint="0.39997558519241921"/>
      </top>
      <bottom/>
      <diagonal/>
    </border>
    <border>
      <left style="thin">
        <color indexed="64"/>
      </left>
      <right/>
      <top style="thin">
        <color indexed="64"/>
      </top>
      <bottom/>
      <diagonal/>
    </border>
    <border>
      <left style="medium">
        <color indexed="64"/>
      </left>
      <right/>
      <top style="thin">
        <color theme="8" tint="0.39997558519241921"/>
      </top>
      <bottom/>
      <diagonal/>
    </border>
    <border>
      <left style="thin">
        <color indexed="64"/>
      </left>
      <right/>
      <top style="medium">
        <color indexed="64"/>
      </top>
      <bottom style="medium">
        <color indexed="64"/>
      </bottom>
      <diagonal/>
    </border>
    <border>
      <left style="thin">
        <color theme="6" tint="0.39997558519241921"/>
      </left>
      <right/>
      <top style="thin">
        <color theme="6" tint="0.39997558519241921"/>
      </top>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top/>
      <bottom style="thick">
        <color theme="4" tint="0.499984740745262"/>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right/>
      <top/>
      <bottom style="thick">
        <color theme="4"/>
      </bottom>
      <diagonal/>
    </border>
    <border>
      <left/>
      <right/>
      <top style="thin">
        <color theme="8" tint="0.39997558519241921"/>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top style="medium">
        <color indexed="64"/>
      </top>
      <bottom/>
      <diagonal/>
    </border>
    <border>
      <left style="thin">
        <color auto="1"/>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medium">
        <color theme="4" tint="-0.249977111117893"/>
      </left>
      <right style="medium">
        <color theme="4" tint="-0.249977111117893"/>
      </right>
      <top style="medium">
        <color theme="4" tint="-0.249977111117893"/>
      </top>
      <bottom style="thick">
        <color theme="4"/>
      </bottom>
      <diagonal/>
    </border>
    <border>
      <left style="medium">
        <color theme="4" tint="-0.249977111117893"/>
      </left>
      <right style="medium">
        <color theme="4" tint="-0.249977111117893"/>
      </right>
      <top/>
      <bottom style="thick">
        <color theme="4"/>
      </bottom>
      <diagonal/>
    </border>
    <border>
      <left style="medium">
        <color theme="4" tint="-0.249977111117893"/>
      </left>
      <right style="medium">
        <color theme="4" tint="-0.249977111117893"/>
      </right>
      <top/>
      <bottom style="medium">
        <color theme="4" tint="-0.249977111117893"/>
      </bottom>
      <diagonal/>
    </border>
    <border>
      <left/>
      <right/>
      <top style="thick">
        <color theme="4"/>
      </top>
      <bottom/>
      <diagonal/>
    </border>
    <border>
      <left style="medium">
        <color theme="4" tint="-0.249977111117893"/>
      </left>
      <right/>
      <top style="medium">
        <color theme="4" tint="-0.249977111117893"/>
      </top>
      <bottom style="thick">
        <color theme="4"/>
      </bottom>
      <diagonal/>
    </border>
    <border>
      <left/>
      <right/>
      <top style="medium">
        <color theme="4" tint="-0.249977111117893"/>
      </top>
      <bottom style="thick">
        <color theme="4"/>
      </bottom>
      <diagonal/>
    </border>
    <border>
      <left/>
      <right style="medium">
        <color theme="4" tint="-0.249977111117893"/>
      </right>
      <top style="medium">
        <color theme="4" tint="-0.249977111117893"/>
      </top>
      <bottom style="thick">
        <color theme="4"/>
      </bottom>
      <diagonal/>
    </border>
    <border>
      <left style="medium">
        <color theme="4" tint="-0.249977111117893"/>
      </left>
      <right/>
      <top/>
      <bottom style="thick">
        <color theme="4"/>
      </bottom>
      <diagonal/>
    </border>
    <border>
      <left/>
      <right style="medium">
        <color theme="4" tint="-0.249977111117893"/>
      </right>
      <top/>
      <bottom style="thick">
        <color theme="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medium">
        <color theme="4" tint="-0.249977111117893"/>
      </left>
      <right/>
      <top/>
      <bottom/>
      <diagonal/>
    </border>
    <border>
      <left/>
      <right style="medium">
        <color theme="4" tint="-0.249977111117893"/>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rgb="FF0070C0"/>
      </left>
      <right style="thin">
        <color indexed="64"/>
      </right>
      <top style="thin">
        <color rgb="FF0070C0"/>
      </top>
      <bottom style="thin">
        <color rgb="FF0070C0"/>
      </bottom>
      <diagonal/>
    </border>
    <border>
      <left style="thin">
        <color indexed="64"/>
      </left>
      <right style="thin">
        <color indexed="64"/>
      </right>
      <top style="thin">
        <color rgb="FF0070C0"/>
      </top>
      <bottom style="thin">
        <color rgb="FF0070C0"/>
      </bottom>
      <diagonal/>
    </border>
    <border>
      <left style="thin">
        <color indexed="64"/>
      </left>
      <right style="thin">
        <color rgb="FF0070C0"/>
      </right>
      <top style="thin">
        <color rgb="FF0070C0"/>
      </top>
      <bottom style="thin">
        <color rgb="FF0070C0"/>
      </bottom>
      <diagonal/>
    </border>
    <border>
      <left/>
      <right/>
      <top style="medium">
        <color theme="4" tint="0.39997558519241921"/>
      </top>
      <bottom/>
      <diagonal/>
    </border>
  </borders>
  <cellStyleXfs count="1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10" fillId="9" borderId="14" applyNumberFormat="0" applyAlignment="0" applyProtection="0"/>
    <xf numFmtId="0" fontId="16" fillId="0" borderId="30" applyNumberFormat="0" applyFill="0" applyAlignment="0" applyProtection="0"/>
    <xf numFmtId="0" fontId="17" fillId="0" borderId="31" applyNumberFormat="0" applyFill="0" applyAlignment="0" applyProtection="0"/>
    <xf numFmtId="0" fontId="3"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19" fillId="0" borderId="41" applyNumberFormat="0" applyFill="0" applyAlignment="0" applyProtection="0"/>
    <xf numFmtId="0" fontId="1" fillId="15" borderId="0" applyNumberFormat="0" applyBorder="0" applyAlignment="0" applyProtection="0"/>
    <xf numFmtId="9" fontId="25" fillId="0" borderId="0" applyFont="0" applyFill="0" applyBorder="0" applyAlignment="0" applyProtection="0"/>
    <xf numFmtId="0" fontId="35" fillId="0" borderId="55" applyNumberFormat="0" applyFill="0" applyAlignment="0" applyProtection="0"/>
    <xf numFmtId="0" fontId="56" fillId="0" borderId="0" applyNumberFormat="0" applyFill="0" applyBorder="0" applyAlignment="0" applyProtection="0"/>
  </cellStyleXfs>
  <cellXfs count="380">
    <xf numFmtId="0" fontId="0" fillId="0" borderId="0" xfId="0"/>
    <xf numFmtId="0" fontId="0" fillId="0" borderId="0" xfId="0" applyAlignment="1">
      <alignment horizontal="center" vertical="center"/>
    </xf>
    <xf numFmtId="164" fontId="6" fillId="0" borderId="3" xfId="0" applyNumberFormat="1" applyFont="1" applyBorder="1" applyAlignment="1">
      <alignment horizontal="center" vertical="center"/>
    </xf>
    <xf numFmtId="164" fontId="6" fillId="0" borderId="0" xfId="0" applyNumberFormat="1" applyFont="1" applyAlignment="1">
      <alignment horizontal="center" vertical="center"/>
    </xf>
    <xf numFmtId="164" fontId="6" fillId="0" borderId="5" xfId="0" applyNumberFormat="1" applyFont="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1" fontId="0" fillId="0" borderId="12" xfId="0" applyNumberFormat="1" applyBorder="1" applyAlignment="1">
      <alignment horizontal="center" vertical="center"/>
    </xf>
    <xf numFmtId="0" fontId="0" fillId="11" borderId="20" xfId="0" applyFill="1" applyBorder="1" applyAlignment="1">
      <alignment horizontal="center" vertical="center"/>
    </xf>
    <xf numFmtId="0" fontId="0" fillId="10" borderId="20" xfId="0" applyFill="1" applyBorder="1" applyAlignment="1">
      <alignment horizontal="center" vertical="center"/>
    </xf>
    <xf numFmtId="0" fontId="0" fillId="0" borderId="7" xfId="0"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horizontal="center" vertical="center"/>
    </xf>
    <xf numFmtId="0" fontId="6" fillId="10" borderId="22" xfId="0" applyFont="1" applyFill="1" applyBorder="1" applyAlignment="1">
      <alignment horizontal="center" vertical="center" wrapText="1"/>
    </xf>
    <xf numFmtId="0" fontId="12" fillId="10" borderId="23" xfId="0" applyFont="1" applyFill="1" applyBorder="1" applyAlignment="1">
      <alignment horizontal="center" vertical="center" wrapText="1"/>
    </xf>
    <xf numFmtId="0" fontId="0" fillId="11" borderId="19" xfId="0" applyFill="1" applyBorder="1" applyAlignment="1">
      <alignment horizontal="center" vertical="center"/>
    </xf>
    <xf numFmtId="1" fontId="0" fillId="11" borderId="26" xfId="0" applyNumberFormat="1" applyFill="1" applyBorder="1" applyAlignment="1">
      <alignment horizontal="center" vertical="center"/>
    </xf>
    <xf numFmtId="165" fontId="0" fillId="11" borderId="25" xfId="0" applyNumberFormat="1" applyFill="1" applyBorder="1" applyAlignment="1">
      <alignment horizontal="center" vertical="center"/>
    </xf>
    <xf numFmtId="0" fontId="0" fillId="10" borderId="19" xfId="0" applyFill="1" applyBorder="1" applyAlignment="1">
      <alignment horizontal="center" vertical="center"/>
    </xf>
    <xf numFmtId="1" fontId="0" fillId="10" borderId="26" xfId="0" applyNumberFormat="1" applyFill="1" applyBorder="1" applyAlignment="1">
      <alignment horizontal="center" vertical="center"/>
    </xf>
    <xf numFmtId="165" fontId="0" fillId="10" borderId="25" xfId="0" applyNumberFormat="1" applyFill="1" applyBorder="1" applyAlignment="1">
      <alignment horizontal="center" vertical="center"/>
    </xf>
    <xf numFmtId="0" fontId="0" fillId="10" borderId="23" xfId="0" applyFill="1"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6" fillId="0" borderId="30" xfId="8" applyAlignment="1">
      <alignment horizontal="center" vertical="center"/>
    </xf>
    <xf numFmtId="0" fontId="17" fillId="9" borderId="31" xfId="9" applyFill="1" applyAlignment="1">
      <alignment horizontal="center" vertical="center"/>
    </xf>
    <xf numFmtId="0" fontId="0" fillId="0" borderId="36" xfId="0" applyBorder="1"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3" fillId="12" borderId="0" xfId="10" applyAlignment="1">
      <alignment vertical="center"/>
    </xf>
    <xf numFmtId="166" fontId="11" fillId="11" borderId="6" xfId="0" applyNumberFormat="1" applyFont="1" applyFill="1" applyBorder="1" applyAlignment="1">
      <alignment horizontal="center" vertical="center"/>
    </xf>
    <xf numFmtId="1" fontId="0" fillId="11" borderId="23" xfId="0" applyNumberFormat="1" applyFill="1" applyBorder="1" applyAlignment="1">
      <alignment horizontal="center" vertical="center"/>
    </xf>
    <xf numFmtId="0" fontId="0" fillId="0" borderId="16" xfId="0" applyBorder="1" applyAlignment="1">
      <alignment horizontal="center" vertical="center"/>
    </xf>
    <xf numFmtId="167" fontId="0" fillId="0" borderId="0" xfId="0" applyNumberFormat="1" applyAlignment="1">
      <alignment horizontal="center" vertical="center"/>
    </xf>
    <xf numFmtId="0" fontId="0" fillId="0" borderId="15" xfId="0" applyBorder="1" applyAlignment="1">
      <alignment horizontal="center" vertical="center"/>
    </xf>
    <xf numFmtId="0" fontId="27" fillId="0" borderId="0" xfId="0" applyFont="1"/>
    <xf numFmtId="0" fontId="0" fillId="20" borderId="0" xfId="0" applyFill="1"/>
    <xf numFmtId="0" fontId="13" fillId="0" borderId="0" xfId="0" applyFont="1" applyAlignment="1">
      <alignment horizontal="center" vertical="center" wrapText="1"/>
    </xf>
    <xf numFmtId="0" fontId="13" fillId="0" borderId="0" xfId="0" applyFont="1" applyAlignment="1">
      <alignment horizontal="center" vertical="center"/>
    </xf>
    <xf numFmtId="0" fontId="22" fillId="0" borderId="46"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0" xfId="0" applyFont="1" applyAlignment="1">
      <alignment horizontal="center" vertical="center" wrapText="1"/>
    </xf>
    <xf numFmtId="0" fontId="22" fillId="0" borderId="50" xfId="0" applyFont="1" applyBorder="1" applyAlignment="1">
      <alignment horizontal="center" vertical="center" wrapText="1"/>
    </xf>
    <xf numFmtId="0" fontId="15" fillId="0" borderId="6" xfId="0" applyFont="1" applyBorder="1" applyAlignment="1">
      <alignment horizontal="center" vertical="center" wrapText="1"/>
    </xf>
    <xf numFmtId="1" fontId="15" fillId="0" borderId="6" xfId="0" applyNumberFormat="1" applyFont="1" applyBorder="1" applyAlignment="1">
      <alignment horizontal="center" vertical="center" wrapText="1"/>
    </xf>
    <xf numFmtId="0" fontId="1" fillId="0" borderId="17" xfId="14" applyFill="1" applyBorder="1" applyAlignment="1">
      <alignment horizontal="center" vertical="center" wrapText="1"/>
    </xf>
    <xf numFmtId="0" fontId="1" fillId="0" borderId="15" xfId="14" applyFill="1" applyBorder="1" applyAlignment="1">
      <alignment horizontal="center" vertical="center" wrapText="1"/>
    </xf>
    <xf numFmtId="0" fontId="1" fillId="0" borderId="16" xfId="14" applyFill="1" applyBorder="1" applyAlignment="1">
      <alignment horizontal="center" vertical="center" wrapText="1"/>
    </xf>
    <xf numFmtId="0" fontId="15" fillId="0" borderId="49" xfId="0" applyFont="1" applyBorder="1" applyAlignment="1">
      <alignment horizontal="center" vertical="center" wrapText="1"/>
    </xf>
    <xf numFmtId="0" fontId="14" fillId="0" borderId="29" xfId="0" applyFont="1" applyBorder="1" applyAlignment="1">
      <alignment horizontal="center" vertical="center" wrapText="1"/>
    </xf>
    <xf numFmtId="0" fontId="15" fillId="0" borderId="38" xfId="0" applyFont="1" applyBorder="1" applyAlignment="1">
      <alignment horizontal="center" vertical="center" wrapText="1"/>
    </xf>
    <xf numFmtId="0" fontId="20" fillId="0" borderId="39" xfId="0" applyFont="1" applyBorder="1" applyAlignment="1">
      <alignment horizontal="center" vertical="center" wrapText="1"/>
    </xf>
    <xf numFmtId="0" fontId="8" fillId="11" borderId="56" xfId="0" applyFont="1" applyFill="1" applyBorder="1" applyAlignment="1">
      <alignment horizontal="center" vertical="center"/>
    </xf>
    <xf numFmtId="0" fontId="8" fillId="10" borderId="56" xfId="0" applyFont="1" applyFill="1" applyBorder="1" applyAlignment="1">
      <alignment horizontal="center" vertical="center"/>
    </xf>
    <xf numFmtId="0" fontId="18" fillId="26" borderId="6" xfId="11" applyFont="1" applyFill="1" applyBorder="1" applyAlignment="1">
      <alignment horizontal="center" vertical="center" wrapText="1"/>
    </xf>
    <xf numFmtId="0" fontId="15" fillId="0" borderId="34" xfId="0" applyFont="1" applyBorder="1" applyAlignment="1">
      <alignment horizontal="center" vertical="center" wrapText="1"/>
    </xf>
    <xf numFmtId="0" fontId="22" fillId="0" borderId="53" xfId="0" applyFont="1" applyBorder="1" applyAlignment="1">
      <alignment horizontal="center" vertical="center" wrapText="1"/>
    </xf>
    <xf numFmtId="0" fontId="15" fillId="0" borderId="59" xfId="0" applyFont="1" applyBorder="1" applyAlignment="1">
      <alignment horizontal="center" vertical="center" wrapText="1"/>
    </xf>
    <xf numFmtId="0" fontId="36" fillId="0" borderId="60" xfId="0" applyFont="1" applyBorder="1" applyAlignment="1">
      <alignment horizontal="center" vertical="center" wrapText="1"/>
    </xf>
    <xf numFmtId="1" fontId="14" fillId="0" borderId="0" xfId="15" applyNumberFormat="1" applyFont="1" applyFill="1" applyBorder="1" applyAlignment="1">
      <alignment horizontal="center" vertical="center" wrapText="1"/>
    </xf>
    <xf numFmtId="0" fontId="23" fillId="0" borderId="0" xfId="0" applyFont="1" applyAlignment="1">
      <alignment horizontal="center" vertical="center"/>
    </xf>
    <xf numFmtId="0" fontId="18" fillId="19" borderId="28" xfId="12" applyFont="1" applyFill="1" applyBorder="1" applyAlignment="1">
      <alignment horizontal="center" vertical="center" wrapText="1"/>
    </xf>
    <xf numFmtId="0" fontId="18" fillId="34" borderId="28" xfId="12" applyFont="1" applyFill="1" applyBorder="1" applyAlignment="1">
      <alignment horizontal="center" vertical="center" wrapText="1"/>
    </xf>
    <xf numFmtId="0" fontId="15" fillId="0" borderId="40" xfId="0" applyFont="1" applyBorder="1" applyAlignment="1">
      <alignment horizontal="center" vertical="center" wrapText="1"/>
    </xf>
    <xf numFmtId="0" fontId="15" fillId="0" borderId="42" xfId="0" applyFont="1" applyBorder="1" applyAlignment="1">
      <alignment horizontal="center" vertical="center" wrapText="1"/>
    </xf>
    <xf numFmtId="0" fontId="15" fillId="0" borderId="51" xfId="0" applyFont="1" applyBorder="1" applyAlignment="1">
      <alignment horizontal="center" vertical="center" wrapText="1"/>
    </xf>
    <xf numFmtId="0" fontId="50" fillId="29" borderId="17" xfId="0" applyFont="1" applyFill="1" applyBorder="1" applyAlignment="1">
      <alignment horizontal="center" vertical="center" wrapText="1"/>
    </xf>
    <xf numFmtId="0" fontId="15" fillId="0" borderId="21" xfId="0" applyFont="1" applyBorder="1" applyAlignment="1">
      <alignment horizontal="center" vertical="center" wrapText="1"/>
    </xf>
    <xf numFmtId="0" fontId="50" fillId="28" borderId="17" xfId="0" applyFont="1" applyFill="1" applyBorder="1" applyAlignment="1">
      <alignment horizontal="center" vertical="center" wrapText="1"/>
    </xf>
    <xf numFmtId="0" fontId="48" fillId="26" borderId="6" xfId="11" applyFont="1" applyFill="1" applyBorder="1" applyAlignment="1">
      <alignment horizontal="center" vertical="center" wrapText="1"/>
    </xf>
    <xf numFmtId="0" fontId="48" fillId="27" borderId="28" xfId="12" applyFont="1" applyFill="1" applyBorder="1" applyAlignment="1">
      <alignment horizontal="center" vertical="center" wrapText="1"/>
    </xf>
    <xf numFmtId="0" fontId="48" fillId="19" borderId="52" xfId="12" applyFont="1" applyFill="1" applyBorder="1" applyAlignment="1">
      <alignment horizontal="center" vertical="center" wrapText="1"/>
    </xf>
    <xf numFmtId="0" fontId="20" fillId="0" borderId="45" xfId="0" applyFont="1" applyBorder="1" applyAlignment="1">
      <alignment horizontal="center" vertical="center" wrapText="1"/>
    </xf>
    <xf numFmtId="0" fontId="17" fillId="0" borderId="31" xfId="9" applyFill="1" applyAlignment="1">
      <alignment horizontal="center" vertical="center" wrapText="1"/>
    </xf>
    <xf numFmtId="2" fontId="0" fillId="0" borderId="42" xfId="0" applyNumberFormat="1" applyBorder="1" applyAlignment="1">
      <alignment horizontal="center" vertical="center"/>
    </xf>
    <xf numFmtId="2" fontId="0" fillId="0" borderId="32" xfId="0" applyNumberFormat="1" applyBorder="1" applyAlignment="1">
      <alignment horizontal="center" vertical="center"/>
    </xf>
    <xf numFmtId="0" fontId="20" fillId="0" borderId="15" xfId="0" applyFont="1" applyBorder="1" applyAlignment="1">
      <alignment horizontal="center" vertical="center" wrapText="1"/>
    </xf>
    <xf numFmtId="0" fontId="15" fillId="0" borderId="44" xfId="0" applyFont="1" applyBorder="1" applyAlignment="1">
      <alignment horizontal="center" vertical="center" wrapText="1"/>
    </xf>
    <xf numFmtId="2" fontId="11" fillId="0" borderId="32" xfId="0" applyNumberFormat="1" applyFont="1" applyBorder="1" applyAlignment="1">
      <alignment horizontal="center" vertical="center" wrapText="1"/>
    </xf>
    <xf numFmtId="0" fontId="0" fillId="0" borderId="37" xfId="0" applyBorder="1" applyAlignment="1">
      <alignment horizontal="center" vertical="center"/>
    </xf>
    <xf numFmtId="0" fontId="0" fillId="0" borderId="60" xfId="0" applyBorder="1" applyAlignment="1">
      <alignment horizontal="center" vertical="center"/>
    </xf>
    <xf numFmtId="0" fontId="15" fillId="0" borderId="64" xfId="0" applyFont="1" applyBorder="1" applyAlignment="1">
      <alignment horizontal="center" vertical="center" wrapText="1"/>
    </xf>
    <xf numFmtId="0" fontId="0" fillId="0" borderId="42" xfId="0" applyBorder="1" applyAlignment="1">
      <alignment horizontal="center" vertical="center"/>
    </xf>
    <xf numFmtId="0" fontId="0" fillId="35" borderId="0" xfId="0" applyFill="1"/>
    <xf numFmtId="0" fontId="21" fillId="16" borderId="0" xfId="0" applyFont="1" applyFill="1" applyAlignment="1">
      <alignment horizontal="center" vertical="center"/>
    </xf>
    <xf numFmtId="0" fontId="21" fillId="17" borderId="0" xfId="0" applyFont="1" applyFill="1" applyAlignment="1">
      <alignment horizontal="center" vertical="center"/>
    </xf>
    <xf numFmtId="0" fontId="21" fillId="19" borderId="0" xfId="0" applyFont="1" applyFill="1" applyAlignment="1">
      <alignment horizontal="center" vertical="center"/>
    </xf>
    <xf numFmtId="0" fontId="21" fillId="18" borderId="0" xfId="0" applyFont="1" applyFill="1" applyAlignment="1">
      <alignment horizontal="center" vertical="center"/>
    </xf>
    <xf numFmtId="1" fontId="9" fillId="8" borderId="7" xfId="0" applyNumberFormat="1" applyFont="1" applyFill="1" applyBorder="1" applyAlignment="1" applyProtection="1">
      <alignment horizontal="center" vertical="center"/>
      <protection locked="0"/>
    </xf>
    <xf numFmtId="1" fontId="0" fillId="8" borderId="1" xfId="0" applyNumberFormat="1" applyFill="1" applyBorder="1" applyAlignment="1" applyProtection="1">
      <alignment horizontal="center" vertical="center"/>
      <protection locked="0"/>
    </xf>
    <xf numFmtId="1" fontId="0" fillId="8" borderId="8" xfId="0" applyNumberFormat="1" applyFill="1" applyBorder="1" applyAlignment="1" applyProtection="1">
      <alignment horizontal="center" vertical="center"/>
      <protection locked="0"/>
    </xf>
    <xf numFmtId="1" fontId="9" fillId="0" borderId="18" xfId="0" applyNumberFormat="1" applyFont="1" applyBorder="1" applyAlignment="1" applyProtection="1">
      <alignment horizontal="center" vertical="center"/>
      <protection locked="0"/>
    </xf>
    <xf numFmtId="1" fontId="0" fillId="0" borderId="0" xfId="0" applyNumberFormat="1" applyAlignment="1" applyProtection="1">
      <alignment horizontal="center" vertical="center"/>
      <protection locked="0"/>
    </xf>
    <xf numFmtId="1" fontId="0" fillId="0" borderId="21" xfId="0" applyNumberFormat="1" applyBorder="1" applyAlignment="1" applyProtection="1">
      <alignment horizontal="center" vertical="center"/>
      <protection locked="0"/>
    </xf>
    <xf numFmtId="1" fontId="9" fillId="8" borderId="18" xfId="0" applyNumberFormat="1" applyFont="1" applyFill="1" applyBorder="1" applyAlignment="1" applyProtection="1">
      <alignment horizontal="center" vertical="center"/>
      <protection locked="0"/>
    </xf>
    <xf numFmtId="1" fontId="0" fillId="8" borderId="0" xfId="0" applyNumberFormat="1" applyFill="1" applyAlignment="1" applyProtection="1">
      <alignment horizontal="center" vertical="center"/>
      <protection locked="0"/>
    </xf>
    <xf numFmtId="1" fontId="0" fillId="8" borderId="21" xfId="0" applyNumberFormat="1" applyFill="1" applyBorder="1" applyAlignment="1" applyProtection="1">
      <alignment horizontal="center" vertical="center"/>
      <protection locked="0"/>
    </xf>
    <xf numFmtId="1" fontId="0" fillId="0" borderId="18" xfId="0" applyNumberFormat="1" applyBorder="1" applyAlignment="1" applyProtection="1">
      <alignment horizontal="center" vertical="center"/>
      <protection locked="0"/>
    </xf>
    <xf numFmtId="1" fontId="0" fillId="8" borderId="18" xfId="0" applyNumberFormat="1" applyFill="1" applyBorder="1" applyAlignment="1" applyProtection="1">
      <alignment horizontal="center" vertical="center"/>
      <protection locked="0"/>
    </xf>
    <xf numFmtId="1" fontId="0" fillId="0" borderId="9" xfId="0" applyNumberFormat="1" applyBorder="1" applyAlignment="1" applyProtection="1">
      <alignment horizontal="center" vertical="center"/>
      <protection locked="0"/>
    </xf>
    <xf numFmtId="1" fontId="0" fillId="0" borderId="2" xfId="0" applyNumberFormat="1" applyBorder="1" applyAlignment="1" applyProtection="1">
      <alignment horizontal="center" vertical="center"/>
      <protection locked="0"/>
    </xf>
    <xf numFmtId="1" fontId="0" fillId="0" borderId="10" xfId="0" applyNumberFormat="1" applyBorder="1" applyAlignment="1" applyProtection="1">
      <alignment horizontal="center" vertical="center"/>
      <protection locked="0"/>
    </xf>
    <xf numFmtId="1" fontId="0" fillId="11" borderId="7" xfId="0" applyNumberFormat="1" applyFill="1" applyBorder="1" applyAlignment="1" applyProtection="1">
      <alignment horizontal="center" vertical="center"/>
      <protection locked="0"/>
    </xf>
    <xf numFmtId="1" fontId="0" fillId="10" borderId="27" xfId="0" applyNumberFormat="1" applyFill="1" applyBorder="1" applyAlignment="1" applyProtection="1">
      <alignment horizontal="center" vertical="center"/>
      <protection locked="0"/>
    </xf>
    <xf numFmtId="1" fontId="0" fillId="11" borderId="27" xfId="0" applyNumberFormat="1" applyFill="1" applyBorder="1" applyAlignment="1" applyProtection="1">
      <alignment horizontal="center" vertical="center"/>
      <protection locked="0"/>
    </xf>
    <xf numFmtId="0" fontId="4" fillId="6" borderId="24" xfId="5" applyBorder="1" applyAlignment="1" applyProtection="1">
      <alignment horizontal="center" vertical="center" wrapText="1"/>
      <protection locked="0"/>
    </xf>
    <xf numFmtId="0" fontId="4" fillId="5" borderId="24" xfId="4" applyBorder="1" applyAlignment="1" applyProtection="1">
      <alignment horizontal="center" vertical="center" wrapText="1"/>
      <protection locked="0"/>
    </xf>
    <xf numFmtId="0" fontId="4" fillId="7" borderId="24" xfId="6" applyBorder="1" applyAlignment="1" applyProtection="1">
      <alignment horizontal="center" vertical="center" wrapText="1"/>
      <protection locked="0"/>
    </xf>
    <xf numFmtId="0" fontId="4" fillId="4" borderId="24" xfId="3" applyBorder="1" applyAlignment="1" applyProtection="1">
      <alignment horizontal="center" vertical="center" wrapText="1"/>
      <protection locked="0"/>
    </xf>
    <xf numFmtId="0" fontId="4" fillId="3" borderId="24" xfId="2" applyBorder="1" applyAlignment="1" applyProtection="1">
      <alignment horizontal="center" vertical="center" wrapText="1"/>
      <protection locked="0"/>
    </xf>
    <xf numFmtId="0" fontId="4" fillId="2" borderId="24" xfId="1" applyBorder="1" applyAlignment="1" applyProtection="1">
      <alignment horizontal="center" vertical="center" wrapText="1"/>
      <protection locked="0"/>
    </xf>
    <xf numFmtId="0" fontId="8" fillId="11" borderId="25" xfId="0" applyFont="1" applyFill="1" applyBorder="1" applyAlignment="1" applyProtection="1">
      <alignment horizontal="center" vertical="center"/>
      <protection locked="0"/>
    </xf>
    <xf numFmtId="0" fontId="8" fillId="10" borderId="25" xfId="0" applyFont="1" applyFill="1" applyBorder="1" applyAlignment="1" applyProtection="1">
      <alignment horizontal="center" vertical="center"/>
      <protection locked="0"/>
    </xf>
    <xf numFmtId="14" fontId="0" fillId="8" borderId="4" xfId="0" applyNumberFormat="1" applyFill="1" applyBorder="1" applyProtection="1">
      <protection locked="0"/>
    </xf>
    <xf numFmtId="0" fontId="4" fillId="6" borderId="6" xfId="5" applyBorder="1" applyAlignment="1" applyProtection="1">
      <alignment horizontal="center" vertical="center" wrapText="1"/>
      <protection locked="0"/>
    </xf>
    <xf numFmtId="0" fontId="4" fillId="5" borderId="6" xfId="4" applyBorder="1" applyAlignment="1" applyProtection="1">
      <alignment horizontal="center" vertical="center" wrapText="1"/>
      <protection locked="0"/>
    </xf>
    <xf numFmtId="0" fontId="4" fillId="7" borderId="6" xfId="6" applyBorder="1" applyAlignment="1" applyProtection="1">
      <alignment horizontal="center" vertical="center" wrapText="1"/>
      <protection locked="0"/>
    </xf>
    <xf numFmtId="0" fontId="4" fillId="4" borderId="6" xfId="3" applyBorder="1" applyAlignment="1" applyProtection="1">
      <alignment horizontal="center" vertical="center" wrapText="1"/>
      <protection locked="0"/>
    </xf>
    <xf numFmtId="0" fontId="4" fillId="3" borderId="13" xfId="2" applyBorder="1" applyAlignment="1" applyProtection="1">
      <alignment horizontal="center" vertical="center" wrapText="1"/>
      <protection locked="0"/>
    </xf>
    <xf numFmtId="0" fontId="4" fillId="2" borderId="6" xfId="1" applyBorder="1" applyAlignment="1" applyProtection="1">
      <alignment horizontal="center" vertical="center" wrapText="1"/>
      <protection locked="0"/>
    </xf>
    <xf numFmtId="0" fontId="0" fillId="0" borderId="0" xfId="0" applyProtection="1">
      <protection locked="0"/>
    </xf>
    <xf numFmtId="0" fontId="6" fillId="0" borderId="70" xfId="0" applyFont="1" applyBorder="1" applyAlignment="1">
      <alignment horizontal="center" vertical="top"/>
    </xf>
    <xf numFmtId="0" fontId="0" fillId="0" borderId="32" xfId="0" applyBorder="1" applyAlignment="1" applyProtection="1">
      <alignment horizontal="center" vertical="center"/>
      <protection locked="0"/>
    </xf>
    <xf numFmtId="0" fontId="0" fillId="0" borderId="0" xfId="0" applyAlignment="1" applyProtection="1">
      <alignment horizontal="center" vertical="center"/>
      <protection locked="0"/>
    </xf>
    <xf numFmtId="0" fontId="26" fillId="0" borderId="57"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57"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58"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3"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32"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42"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5" fillId="0" borderId="63" xfId="0"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21" fillId="0" borderId="13" xfId="0" applyFont="1" applyBorder="1" applyAlignment="1" applyProtection="1">
      <alignment horizontal="center" vertical="center" wrapText="1"/>
      <protection locked="0"/>
    </xf>
    <xf numFmtId="166" fontId="0" fillId="0" borderId="0" xfId="0" applyNumberFormat="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21" xfId="0" applyBorder="1" applyAlignment="1" applyProtection="1">
      <alignment horizontal="center"/>
      <protection locked="0"/>
    </xf>
    <xf numFmtId="0" fontId="0" fillId="0" borderId="21" xfId="0" applyBorder="1" applyProtection="1">
      <protection locked="0"/>
    </xf>
    <xf numFmtId="0" fontId="0" fillId="0" borderId="65"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66" xfId="0" applyBorder="1" applyProtection="1">
      <protection locked="0"/>
    </xf>
    <xf numFmtId="0" fontId="0" fillId="0" borderId="44" xfId="0" applyBorder="1" applyAlignment="1" applyProtection="1">
      <alignment horizontal="center" vertical="center"/>
      <protection locked="0"/>
    </xf>
    <xf numFmtId="0" fontId="22" fillId="0" borderId="0" xfId="0" applyFont="1" applyAlignment="1" applyProtection="1">
      <alignment horizontal="center" vertical="center" wrapText="1"/>
      <protection locked="0"/>
    </xf>
    <xf numFmtId="0" fontId="24" fillId="0" borderId="0" xfId="0" applyFont="1" applyAlignment="1" applyProtection="1">
      <alignment horizontal="center" vertical="center"/>
      <protection locked="0"/>
    </xf>
    <xf numFmtId="14" fontId="6" fillId="0" borderId="5" xfId="0" applyNumberFormat="1" applyFont="1" applyBorder="1" applyAlignment="1">
      <alignment horizontal="center" vertical="center"/>
    </xf>
    <xf numFmtId="0" fontId="15" fillId="0" borderId="0" xfId="0" applyFont="1" applyAlignment="1" applyProtection="1">
      <alignment horizontal="center" vertical="center" wrapText="1"/>
      <protection locked="0"/>
    </xf>
    <xf numFmtId="0" fontId="15" fillId="0" borderId="21" xfId="0" applyFont="1" applyBorder="1" applyAlignment="1" applyProtection="1">
      <alignment horizontal="center" vertical="center" wrapText="1"/>
      <protection locked="0"/>
    </xf>
    <xf numFmtId="0" fontId="0" fillId="8" borderId="4" xfId="0" applyFill="1" applyBorder="1" applyAlignment="1">
      <alignment horizontal="center"/>
    </xf>
    <xf numFmtId="0" fontId="0" fillId="0" borderId="17" xfId="0" applyBorder="1" applyAlignment="1" applyProtection="1">
      <alignment horizontal="center" vertical="center"/>
      <protection locked="0"/>
    </xf>
    <xf numFmtId="0" fontId="27" fillId="24" borderId="8" xfId="0" applyFont="1" applyFill="1" applyBorder="1" applyAlignment="1" applyProtection="1">
      <alignment vertical="top" wrapText="1"/>
      <protection locked="0"/>
    </xf>
    <xf numFmtId="0" fontId="27" fillId="24" borderId="21" xfId="0" applyFont="1" applyFill="1" applyBorder="1" applyAlignment="1" applyProtection="1">
      <alignment vertical="top" wrapText="1"/>
      <protection locked="0"/>
    </xf>
    <xf numFmtId="0" fontId="29" fillId="0" borderId="16" xfId="0" applyFont="1" applyBorder="1" applyAlignment="1">
      <alignment vertical="center"/>
    </xf>
    <xf numFmtId="0" fontId="18" fillId="33" borderId="6" xfId="11" applyFont="1" applyFill="1" applyBorder="1" applyAlignment="1">
      <alignment horizontal="center" vertical="center" wrapText="1"/>
    </xf>
    <xf numFmtId="0" fontId="18" fillId="27" borderId="6" xfId="11" applyFont="1" applyFill="1" applyBorder="1" applyAlignment="1">
      <alignment horizontal="center" vertical="center" wrapText="1"/>
    </xf>
    <xf numFmtId="0" fontId="0" fillId="36" borderId="0" xfId="0" applyFill="1"/>
    <xf numFmtId="0" fontId="21" fillId="0" borderId="6" xfId="0" applyFont="1" applyBorder="1" applyAlignment="1" applyProtection="1">
      <alignment horizontal="center" vertical="center" wrapText="1"/>
      <protection locked="0"/>
    </xf>
    <xf numFmtId="0" fontId="0" fillId="0" borderId="38" xfId="0" applyBorder="1" applyAlignment="1" applyProtection="1">
      <alignment horizontal="center" vertical="center"/>
      <protection locked="0"/>
    </xf>
    <xf numFmtId="0" fontId="63" fillId="21" borderId="32" xfId="0" applyFont="1" applyFill="1" applyBorder="1" applyAlignment="1">
      <alignment horizontal="center" vertical="center"/>
    </xf>
    <xf numFmtId="0" fontId="0" fillId="22" borderId="32" xfId="0" applyFill="1" applyBorder="1" applyAlignment="1">
      <alignment horizontal="center" vertical="center"/>
    </xf>
    <xf numFmtId="0" fontId="0" fillId="23" borderId="32" xfId="0" applyFill="1" applyBorder="1" applyAlignment="1">
      <alignment horizontal="center" vertical="center"/>
    </xf>
    <xf numFmtId="0" fontId="0" fillId="25" borderId="32" xfId="0" applyFill="1" applyBorder="1" applyAlignment="1">
      <alignment horizontal="center" vertical="center"/>
    </xf>
    <xf numFmtId="0" fontId="8" fillId="36" borderId="0" xfId="0" applyFont="1" applyFill="1" applyAlignment="1">
      <alignment horizontal="center" vertical="center" wrapText="1"/>
    </xf>
    <xf numFmtId="0" fontId="0" fillId="37" borderId="0" xfId="0" applyFill="1"/>
    <xf numFmtId="0" fontId="19" fillId="0" borderId="0" xfId="13" applyBorder="1" applyAlignment="1">
      <alignment horizontal="center" vertical="center" wrapText="1"/>
    </xf>
    <xf numFmtId="0" fontId="66" fillId="0" borderId="0" xfId="13" applyFont="1" applyBorder="1" applyAlignment="1">
      <alignment horizontal="center" vertical="center" wrapText="1"/>
    </xf>
    <xf numFmtId="9" fontId="0" fillId="0" borderId="8" xfId="0" applyNumberFormat="1" applyBorder="1" applyAlignment="1" applyProtection="1">
      <alignment horizontal="center" vertical="center"/>
      <protection locked="0"/>
    </xf>
    <xf numFmtId="0" fontId="0" fillId="0" borderId="32" xfId="0" applyBorder="1" applyAlignment="1" applyProtection="1">
      <alignment horizontal="center" vertical="center" wrapText="1"/>
      <protection locked="0"/>
    </xf>
    <xf numFmtId="0" fontId="0" fillId="0" borderId="34" xfId="0" applyBorder="1" applyAlignment="1" applyProtection="1">
      <alignment horizontal="center" vertical="center" wrapText="1"/>
      <protection locked="0"/>
    </xf>
    <xf numFmtId="9" fontId="0" fillId="0" borderId="21" xfId="0" applyNumberFormat="1" applyBorder="1" applyAlignment="1" applyProtection="1">
      <alignment horizontal="center" vertical="center"/>
      <protection locked="0"/>
    </xf>
    <xf numFmtId="0" fontId="0" fillId="0" borderId="37" xfId="0" applyBorder="1" applyAlignment="1" applyProtection="1">
      <alignment horizontal="center" vertical="center" wrapText="1"/>
      <protection locked="0"/>
    </xf>
    <xf numFmtId="9" fontId="0" fillId="0" borderId="32" xfId="0" applyNumberFormat="1" applyBorder="1" applyAlignment="1" applyProtection="1">
      <alignment horizontal="center" vertical="center"/>
      <protection locked="0"/>
    </xf>
    <xf numFmtId="0" fontId="0" fillId="0" borderId="32" xfId="0" applyBorder="1" applyProtection="1">
      <protection locked="0"/>
    </xf>
    <xf numFmtId="0" fontId="70" fillId="0" borderId="0" xfId="0" applyFont="1" applyAlignment="1">
      <alignment horizontal="center" vertical="center"/>
    </xf>
    <xf numFmtId="0" fontId="6" fillId="0" borderId="69" xfId="0" applyFont="1" applyBorder="1" applyAlignment="1">
      <alignment horizontal="center" vertical="top"/>
    </xf>
    <xf numFmtId="0" fontId="6" fillId="0" borderId="70" xfId="0" applyFont="1" applyBorder="1" applyAlignment="1">
      <alignment horizontal="center" vertical="top" wrapText="1"/>
    </xf>
    <xf numFmtId="0" fontId="6" fillId="0" borderId="67" xfId="0" applyFont="1" applyBorder="1" applyAlignment="1">
      <alignment horizontal="center" vertical="top"/>
    </xf>
    <xf numFmtId="0" fontId="6" fillId="0" borderId="88" xfId="0" applyFont="1" applyBorder="1" applyAlignment="1" applyProtection="1">
      <alignment horizontal="center" vertical="top"/>
      <protection locked="0"/>
    </xf>
    <xf numFmtId="0" fontId="0" fillId="0" borderId="88" xfId="0" applyBorder="1" applyAlignment="1" applyProtection="1">
      <alignment horizontal="center" vertical="center"/>
      <protection locked="0"/>
    </xf>
    <xf numFmtId="0" fontId="0" fillId="0" borderId="88" xfId="0" applyBorder="1" applyAlignment="1" applyProtection="1">
      <alignment horizontal="left" vertical="center" wrapText="1"/>
      <protection locked="0"/>
    </xf>
    <xf numFmtId="0" fontId="0" fillId="0" borderId="88" xfId="0" applyBorder="1" applyAlignment="1" applyProtection="1">
      <alignment horizontal="left" vertical="top" wrapText="1"/>
      <protection locked="0"/>
    </xf>
    <xf numFmtId="0" fontId="0" fillId="0" borderId="88" xfId="0" applyBorder="1" applyAlignment="1">
      <alignment horizontal="center" vertical="center"/>
    </xf>
    <xf numFmtId="0" fontId="0" fillId="0" borderId="88" xfId="0" applyBorder="1" applyAlignment="1" applyProtection="1">
      <alignment horizontal="left" vertical="center"/>
      <protection locked="0"/>
    </xf>
    <xf numFmtId="0" fontId="6" fillId="0" borderId="88" xfId="0" applyFont="1" applyBorder="1" applyAlignment="1">
      <alignment horizontal="center" vertical="center"/>
    </xf>
    <xf numFmtId="0" fontId="15" fillId="0" borderId="70" xfId="0" applyFont="1" applyBorder="1" applyAlignment="1">
      <alignment horizontal="center" vertical="center"/>
    </xf>
    <xf numFmtId="0" fontId="15" fillId="0" borderId="68" xfId="0" applyFont="1" applyBorder="1" applyAlignment="1">
      <alignment horizontal="center" vertical="center"/>
    </xf>
    <xf numFmtId="0" fontId="15" fillId="0" borderId="32" xfId="0" applyFont="1" applyBorder="1" applyAlignment="1">
      <alignment horizontal="center" vertical="center"/>
    </xf>
    <xf numFmtId="0" fontId="34" fillId="21" borderId="32" xfId="0" applyFont="1" applyFill="1" applyBorder="1" applyAlignment="1">
      <alignment horizontal="center" vertical="center"/>
    </xf>
    <xf numFmtId="0" fontId="15" fillId="22" borderId="32" xfId="0" applyFont="1" applyFill="1" applyBorder="1" applyAlignment="1">
      <alignment horizontal="center" vertical="center"/>
    </xf>
    <xf numFmtId="0" fontId="15" fillId="23" borderId="32" xfId="0" applyFont="1" applyFill="1" applyBorder="1" applyAlignment="1">
      <alignment horizontal="center" vertical="center"/>
    </xf>
    <xf numFmtId="0" fontId="15" fillId="25" borderId="32" xfId="0" applyFont="1" applyFill="1" applyBorder="1" applyAlignment="1">
      <alignment horizontal="center" vertical="center"/>
    </xf>
    <xf numFmtId="0" fontId="11" fillId="0" borderId="17" xfId="0" applyFont="1" applyBorder="1" applyAlignment="1" applyProtection="1">
      <alignment vertical="center" wrapText="1"/>
      <protection locked="0"/>
    </xf>
    <xf numFmtId="0" fontId="11" fillId="0" borderId="32" xfId="0" applyFont="1" applyBorder="1" applyAlignment="1" applyProtection="1">
      <alignment horizontal="center" vertical="center" wrapText="1"/>
      <protection locked="0"/>
    </xf>
    <xf numFmtId="0" fontId="4" fillId="6" borderId="32" xfId="5" applyBorder="1" applyAlignment="1" applyProtection="1">
      <alignment horizontal="center" vertical="center" wrapText="1"/>
      <protection locked="0"/>
    </xf>
    <xf numFmtId="0" fontId="4" fillId="5" borderId="32" xfId="4" applyBorder="1" applyAlignment="1" applyProtection="1">
      <alignment horizontal="center" vertical="center" wrapText="1"/>
      <protection locked="0"/>
    </xf>
    <xf numFmtId="0" fontId="4" fillId="7" borderId="32" xfId="6" applyBorder="1" applyAlignment="1" applyProtection="1">
      <alignment horizontal="center" vertical="center" wrapText="1"/>
      <protection locked="0"/>
    </xf>
    <xf numFmtId="0" fontId="4" fillId="4" borderId="32" xfId="3" applyBorder="1" applyAlignment="1" applyProtection="1">
      <alignment horizontal="center" vertical="center" wrapText="1"/>
      <protection locked="0"/>
    </xf>
    <xf numFmtId="0" fontId="4" fillId="3" borderId="32" xfId="2" applyBorder="1" applyAlignment="1" applyProtection="1">
      <alignment horizontal="center" vertical="center" wrapText="1"/>
      <protection locked="0"/>
    </xf>
    <xf numFmtId="0" fontId="4" fillId="2" borderId="32" xfId="1" applyBorder="1" applyAlignment="1" applyProtection="1">
      <alignment horizontal="center" vertical="center" wrapText="1"/>
      <protection locked="0"/>
    </xf>
    <xf numFmtId="0" fontId="10" fillId="9" borderId="32" xfId="7" applyBorder="1" applyAlignment="1" applyProtection="1">
      <alignment horizontal="center" vertical="center" wrapText="1"/>
      <protection locked="0"/>
    </xf>
    <xf numFmtId="0" fontId="50" fillId="28" borderId="7" xfId="0" applyFont="1" applyFill="1" applyBorder="1" applyAlignment="1" applyProtection="1">
      <alignment horizontal="center" vertical="center" wrapText="1"/>
      <protection locked="0"/>
    </xf>
    <xf numFmtId="0" fontId="50" fillId="29" borderId="7" xfId="0" applyFont="1" applyFill="1" applyBorder="1" applyAlignment="1" applyProtection="1">
      <alignment horizontal="center" vertical="center" wrapText="1"/>
      <protection locked="0"/>
    </xf>
    <xf numFmtId="0" fontId="48" fillId="26" borderId="13" xfId="11" applyFont="1" applyFill="1" applyBorder="1" applyAlignment="1" applyProtection="1">
      <alignment horizontal="center" vertical="center" wrapText="1"/>
      <protection locked="0"/>
    </xf>
    <xf numFmtId="0" fontId="48" fillId="27" borderId="67" xfId="12" applyFont="1" applyFill="1" applyBorder="1" applyAlignment="1" applyProtection="1">
      <alignment horizontal="center" vertical="center" wrapText="1"/>
      <protection locked="0"/>
    </xf>
    <xf numFmtId="0" fontId="48" fillId="19" borderId="68" xfId="12" applyFont="1" applyFill="1" applyBorder="1" applyAlignment="1" applyProtection="1">
      <alignment horizontal="center" vertical="center" wrapText="1"/>
      <protection locked="0"/>
    </xf>
    <xf numFmtId="0" fontId="68" fillId="33" borderId="13" xfId="11" applyFont="1" applyFill="1" applyBorder="1" applyAlignment="1" applyProtection="1">
      <alignment horizontal="center" vertical="center" wrapText="1"/>
      <protection locked="0"/>
    </xf>
    <xf numFmtId="0" fontId="68" fillId="27" borderId="13" xfId="11" applyFont="1" applyFill="1" applyBorder="1" applyAlignment="1" applyProtection="1">
      <alignment horizontal="center" vertical="center" wrapText="1"/>
      <protection locked="0"/>
    </xf>
    <xf numFmtId="0" fontId="68" fillId="26" borderId="13" xfId="11" applyFont="1" applyFill="1" applyBorder="1" applyAlignment="1" applyProtection="1">
      <alignment horizontal="center" vertical="center" wrapText="1"/>
      <protection locked="0"/>
    </xf>
    <xf numFmtId="0" fontId="68" fillId="34" borderId="67" xfId="12" applyFont="1" applyFill="1" applyBorder="1" applyAlignment="1" applyProtection="1">
      <alignment horizontal="center" vertical="center" wrapText="1"/>
      <protection locked="0"/>
    </xf>
    <xf numFmtId="0" fontId="68" fillId="19" borderId="67" xfId="12" applyFont="1" applyFill="1" applyBorder="1" applyAlignment="1" applyProtection="1">
      <alignment horizontal="center" vertical="center" wrapText="1"/>
      <protection locked="0"/>
    </xf>
    <xf numFmtId="2" fontId="0" fillId="0" borderId="60" xfId="0" applyNumberFormat="1" applyBorder="1" applyAlignment="1">
      <alignment horizontal="center" vertical="center"/>
    </xf>
    <xf numFmtId="14" fontId="22" fillId="0" borderId="37" xfId="0" applyNumberFormat="1" applyFont="1" applyBorder="1" applyAlignment="1" applyProtection="1">
      <alignment horizontal="center" vertical="center" wrapText="1"/>
      <protection locked="0"/>
    </xf>
    <xf numFmtId="0" fontId="54" fillId="36" borderId="17" xfId="0" applyFont="1" applyFill="1" applyBorder="1" applyAlignment="1">
      <alignment horizontal="center" vertical="center" wrapText="1"/>
    </xf>
    <xf numFmtId="0" fontId="54" fillId="36" borderId="15" xfId="0" applyFont="1" applyFill="1" applyBorder="1" applyAlignment="1">
      <alignment horizontal="center" vertical="center" wrapText="1"/>
    </xf>
    <xf numFmtId="0" fontId="54" fillId="36" borderId="16" xfId="0" applyFont="1" applyFill="1" applyBorder="1" applyAlignment="1">
      <alignment horizontal="center" vertical="center" wrapText="1"/>
    </xf>
    <xf numFmtId="0" fontId="27" fillId="36" borderId="15" xfId="0" applyFont="1" applyFill="1" applyBorder="1" applyAlignment="1">
      <alignment horizontal="left" vertical="top" wrapText="1"/>
    </xf>
    <xf numFmtId="0" fontId="62" fillId="36" borderId="17" xfId="0" applyFont="1" applyFill="1" applyBorder="1" applyAlignment="1">
      <alignment horizontal="left" vertical="top" wrapText="1"/>
    </xf>
    <xf numFmtId="0" fontId="62" fillId="36" borderId="15" xfId="0" applyFont="1" applyFill="1" applyBorder="1" applyAlignment="1">
      <alignment horizontal="left" vertical="top" wrapText="1"/>
    </xf>
    <xf numFmtId="0" fontId="62" fillId="36" borderId="16" xfId="0" applyFont="1" applyFill="1" applyBorder="1" applyAlignment="1">
      <alignment horizontal="left" vertical="top" wrapText="1"/>
    </xf>
    <xf numFmtId="0" fontId="27" fillId="36" borderId="1" xfId="0" applyFont="1" applyFill="1" applyBorder="1" applyAlignment="1">
      <alignment horizontal="left" vertical="top" wrapText="1"/>
    </xf>
    <xf numFmtId="0" fontId="28" fillId="36" borderId="7" xfId="0" applyFont="1" applyFill="1" applyBorder="1" applyAlignment="1">
      <alignment horizontal="left" vertical="top" wrapText="1"/>
    </xf>
    <xf numFmtId="0" fontId="28" fillId="36" borderId="1" xfId="0" applyFont="1" applyFill="1" applyBorder="1" applyAlignment="1">
      <alignment horizontal="left" vertical="top" wrapText="1"/>
    </xf>
    <xf numFmtId="0" fontId="28" fillId="36" borderId="8" xfId="0" applyFont="1" applyFill="1" applyBorder="1" applyAlignment="1">
      <alignment horizontal="left" vertical="top" wrapText="1"/>
    </xf>
    <xf numFmtId="0" fontId="28" fillId="36" borderId="18" xfId="0" applyFont="1" applyFill="1" applyBorder="1" applyAlignment="1">
      <alignment horizontal="left" vertical="top" wrapText="1"/>
    </xf>
    <xf numFmtId="0" fontId="28" fillId="36" borderId="0" xfId="0" applyFont="1" applyFill="1" applyAlignment="1">
      <alignment horizontal="left" vertical="top" wrapText="1"/>
    </xf>
    <xf numFmtId="0" fontId="28" fillId="36" borderId="21" xfId="0" applyFont="1" applyFill="1" applyBorder="1" applyAlignment="1">
      <alignment horizontal="left" vertical="top" wrapText="1"/>
    </xf>
    <xf numFmtId="0" fontId="28" fillId="36" borderId="71" xfId="0" applyFont="1" applyFill="1" applyBorder="1" applyAlignment="1">
      <alignment horizontal="left" vertical="top" wrapText="1"/>
    </xf>
    <xf numFmtId="0" fontId="28" fillId="36" borderId="33" xfId="0" applyFont="1" applyFill="1" applyBorder="1" applyAlignment="1">
      <alignment horizontal="left" vertical="top" wrapText="1"/>
    </xf>
    <xf numFmtId="0" fontId="28" fillId="36" borderId="72" xfId="0" applyFont="1" applyFill="1" applyBorder="1" applyAlignment="1">
      <alignment horizontal="left" vertical="top" wrapText="1"/>
    </xf>
    <xf numFmtId="0" fontId="59" fillId="36" borderId="0" xfId="0" applyFont="1" applyFill="1" applyAlignment="1">
      <alignment horizontal="center" vertical="center" wrapText="1"/>
    </xf>
    <xf numFmtId="0" fontId="58" fillId="36" borderId="0" xfId="0" applyFont="1" applyFill="1" applyAlignment="1">
      <alignment horizontal="center" vertical="top" wrapText="1"/>
    </xf>
    <xf numFmtId="0" fontId="37" fillId="36" borderId="15" xfId="0" applyFont="1" applyFill="1" applyBorder="1" applyAlignment="1">
      <alignment horizontal="center" vertical="center" wrapText="1"/>
    </xf>
    <xf numFmtId="0" fontId="37" fillId="36" borderId="16" xfId="0" applyFont="1" applyFill="1" applyBorder="1" applyAlignment="1">
      <alignment horizontal="center" vertical="center" wrapText="1"/>
    </xf>
    <xf numFmtId="0" fontId="37" fillId="36" borderId="17" xfId="0" applyFont="1" applyFill="1" applyBorder="1" applyAlignment="1">
      <alignment horizontal="center" vertical="center" wrapText="1"/>
    </xf>
    <xf numFmtId="0" fontId="0" fillId="36" borderId="15" xfId="0" applyFill="1" applyBorder="1" applyAlignment="1">
      <alignment horizontal="center"/>
    </xf>
    <xf numFmtId="0" fontId="28" fillId="36" borderId="19" xfId="0" applyFont="1" applyFill="1" applyBorder="1" applyAlignment="1">
      <alignment horizontal="left" vertical="top" wrapText="1"/>
    </xf>
    <xf numFmtId="0" fontId="28" fillId="36" borderId="73" xfId="0" applyFont="1" applyFill="1" applyBorder="1" applyAlignment="1">
      <alignment horizontal="left" vertical="top" wrapText="1"/>
    </xf>
    <xf numFmtId="0" fontId="28" fillId="36" borderId="74" xfId="0" applyFont="1" applyFill="1" applyBorder="1" applyAlignment="1">
      <alignment horizontal="left" vertical="top" wrapText="1"/>
    </xf>
    <xf numFmtId="0" fontId="28" fillId="36" borderId="9" xfId="0" applyFont="1" applyFill="1" applyBorder="1" applyAlignment="1">
      <alignment horizontal="left" vertical="top" wrapText="1"/>
    </xf>
    <xf numFmtId="0" fontId="28" fillId="36" borderId="2" xfId="0" applyFont="1" applyFill="1" applyBorder="1" applyAlignment="1">
      <alignment horizontal="left" vertical="top" wrapText="1"/>
    </xf>
    <xf numFmtId="0" fontId="28" fillId="36" borderId="10" xfId="0" applyFont="1" applyFill="1" applyBorder="1" applyAlignment="1">
      <alignment horizontal="left" vertical="top" wrapText="1"/>
    </xf>
    <xf numFmtId="0" fontId="61" fillId="36" borderId="0" xfId="0" applyFont="1" applyFill="1" applyAlignment="1">
      <alignment horizontal="center" vertical="center"/>
    </xf>
    <xf numFmtId="0" fontId="32" fillId="0" borderId="17" xfId="0" applyFont="1" applyBorder="1" applyAlignment="1">
      <alignment horizontal="center" vertical="center"/>
    </xf>
    <xf numFmtId="0" fontId="32" fillId="0" borderId="15" xfId="0" applyFont="1" applyBorder="1" applyAlignment="1">
      <alignment horizontal="center" vertical="center"/>
    </xf>
    <xf numFmtId="0" fontId="32" fillId="0" borderId="1" xfId="0" applyFont="1" applyBorder="1" applyAlignment="1">
      <alignment horizontal="center" vertical="center"/>
    </xf>
    <xf numFmtId="0" fontId="32" fillId="0" borderId="8" xfId="0" applyFont="1" applyBorder="1" applyAlignment="1">
      <alignment horizontal="center" vertical="center"/>
    </xf>
    <xf numFmtId="0" fontId="33" fillId="0" borderId="38" xfId="0" applyFont="1" applyBorder="1" applyAlignment="1">
      <alignment horizontal="center"/>
    </xf>
    <xf numFmtId="0" fontId="33" fillId="0" borderId="70" xfId="0" applyFont="1" applyBorder="1" applyAlignment="1">
      <alignment horizontal="center"/>
    </xf>
    <xf numFmtId="0" fontId="33" fillId="0" borderId="53" xfId="0" applyFont="1" applyBorder="1" applyAlignment="1">
      <alignment horizontal="center" vertical="center" textRotation="90"/>
    </xf>
    <xf numFmtId="0" fontId="33" fillId="0" borderId="46" xfId="0" applyFont="1" applyBorder="1" applyAlignment="1">
      <alignment horizontal="center" vertical="center" textRotation="90"/>
    </xf>
    <xf numFmtId="0" fontId="33" fillId="0" borderId="54" xfId="0" applyFont="1" applyBorder="1" applyAlignment="1">
      <alignment horizontal="center" vertical="center" textRotation="90"/>
    </xf>
    <xf numFmtId="0" fontId="64" fillId="36" borderId="0" xfId="0" applyFont="1" applyFill="1" applyAlignment="1">
      <alignment horizontal="left" vertical="top" wrapText="1"/>
    </xf>
    <xf numFmtId="0" fontId="7" fillId="36" borderId="0" xfId="0" applyFont="1" applyFill="1" applyAlignment="1">
      <alignment horizontal="left" vertical="top" wrapText="1"/>
    </xf>
    <xf numFmtId="0" fontId="37" fillId="36" borderId="0" xfId="0" applyFont="1" applyFill="1" applyAlignment="1">
      <alignment horizontal="center" vertical="center" wrapText="1"/>
    </xf>
    <xf numFmtId="0" fontId="57" fillId="36" borderId="0" xfId="0" applyFont="1" applyFill="1" applyAlignment="1">
      <alignment horizontal="left" vertical="top" wrapText="1"/>
    </xf>
    <xf numFmtId="0" fontId="57" fillId="36" borderId="0" xfId="0" applyFont="1" applyFill="1" applyAlignment="1">
      <alignment horizontal="left" vertical="top"/>
    </xf>
    <xf numFmtId="0" fontId="0" fillId="0" borderId="0" xfId="0" applyAlignment="1">
      <alignment horizontal="center"/>
    </xf>
    <xf numFmtId="0" fontId="0" fillId="38" borderId="0" xfId="0" applyFill="1" applyAlignment="1">
      <alignment horizontal="center"/>
    </xf>
    <xf numFmtId="0" fontId="0" fillId="0" borderId="44" xfId="0" applyBorder="1" applyAlignment="1" applyProtection="1">
      <alignment horizontal="left" vertical="top" wrapText="1"/>
      <protection locked="0"/>
    </xf>
    <xf numFmtId="0" fontId="0" fillId="0" borderId="63" xfId="0" applyBorder="1" applyAlignment="1" applyProtection="1">
      <alignment horizontal="left" vertical="top" wrapText="1"/>
      <protection locked="0"/>
    </xf>
    <xf numFmtId="0" fontId="38" fillId="0" borderId="43" xfId="0" applyFont="1" applyBorder="1" applyAlignment="1" applyProtection="1">
      <alignment horizontal="left" vertical="top" wrapText="1"/>
      <protection locked="0"/>
    </xf>
    <xf numFmtId="0" fontId="38" fillId="0" borderId="3" xfId="0" applyFont="1" applyBorder="1" applyAlignment="1" applyProtection="1">
      <alignment horizontal="left" vertical="top" wrapText="1"/>
      <protection locked="0"/>
    </xf>
    <xf numFmtId="0" fontId="38" fillId="0" borderId="48" xfId="0" applyFont="1" applyBorder="1" applyAlignment="1" applyProtection="1">
      <alignment horizontal="left" vertical="top" wrapText="1"/>
      <protection locked="0"/>
    </xf>
    <xf numFmtId="0" fontId="40" fillId="0" borderId="43" xfId="0" applyFont="1" applyBorder="1" applyAlignment="1" applyProtection="1">
      <alignment horizontal="left" vertical="top" wrapText="1"/>
      <protection locked="0"/>
    </xf>
    <xf numFmtId="0" fontId="40" fillId="0" borderId="3" xfId="0" applyFont="1" applyBorder="1" applyAlignment="1" applyProtection="1">
      <alignment horizontal="left" vertical="top" wrapText="1"/>
      <protection locked="0"/>
    </xf>
    <xf numFmtId="0" fontId="40" fillId="0" borderId="48" xfId="0" applyFont="1" applyBorder="1" applyAlignment="1" applyProtection="1">
      <alignment horizontal="left" vertical="top" wrapText="1"/>
      <protection locked="0"/>
    </xf>
    <xf numFmtId="0" fontId="41" fillId="0" borderId="43" xfId="0" applyFont="1" applyBorder="1" applyAlignment="1" applyProtection="1">
      <alignment horizontal="left" vertical="top" wrapText="1"/>
      <protection locked="0"/>
    </xf>
    <xf numFmtId="0" fontId="42" fillId="0" borderId="3" xfId="0" applyFont="1" applyBorder="1" applyAlignment="1" applyProtection="1">
      <alignment horizontal="left" vertical="top" wrapText="1"/>
      <protection locked="0"/>
    </xf>
    <xf numFmtId="0" fontId="42" fillId="0" borderId="48" xfId="0" applyFont="1" applyBorder="1" applyAlignment="1" applyProtection="1">
      <alignment horizontal="left" vertical="top" wrapText="1"/>
      <protection locked="0"/>
    </xf>
    <xf numFmtId="0" fontId="43" fillId="0" borderId="17" xfId="0" applyFont="1" applyBorder="1" applyAlignment="1" applyProtection="1">
      <alignment horizontal="left" vertical="top" wrapText="1"/>
      <protection locked="0"/>
    </xf>
    <xf numFmtId="0" fontId="43" fillId="0" borderId="15" xfId="0" applyFont="1" applyBorder="1" applyAlignment="1" applyProtection="1">
      <alignment horizontal="left" vertical="top" wrapText="1"/>
      <protection locked="0"/>
    </xf>
    <xf numFmtId="0" fontId="43" fillId="0" borderId="16" xfId="0" applyFont="1" applyBorder="1" applyAlignment="1" applyProtection="1">
      <alignment horizontal="left" vertical="top" wrapText="1"/>
      <protection locked="0"/>
    </xf>
    <xf numFmtId="0" fontId="47" fillId="0" borderId="17" xfId="0" applyFont="1" applyBorder="1" applyAlignment="1">
      <alignment horizontal="center" vertical="center" wrapText="1"/>
    </xf>
    <xf numFmtId="0" fontId="47" fillId="0" borderId="15" xfId="0" applyFont="1" applyBorder="1" applyAlignment="1">
      <alignment horizontal="center" vertical="center" wrapText="1"/>
    </xf>
    <xf numFmtId="0" fontId="0" fillId="0" borderId="75" xfId="0" applyBorder="1" applyAlignment="1" applyProtection="1">
      <alignment horizontal="left" vertical="top" wrapText="1"/>
      <protection locked="0"/>
    </xf>
    <xf numFmtId="0" fontId="0" fillId="0" borderId="33" xfId="0" applyBorder="1" applyAlignment="1" applyProtection="1">
      <alignment horizontal="left" vertical="top" wrapText="1"/>
      <protection locked="0"/>
    </xf>
    <xf numFmtId="0" fontId="19" fillId="0" borderId="0" xfId="13" applyBorder="1" applyAlignment="1">
      <alignment horizontal="center" vertical="center" wrapText="1"/>
    </xf>
    <xf numFmtId="0" fontId="35" fillId="0" borderId="55" xfId="16" applyAlignment="1">
      <alignment horizontal="center" vertical="center"/>
    </xf>
    <xf numFmtId="0" fontId="19" fillId="0" borderId="41" xfId="13" applyAlignment="1">
      <alignment horizontal="center" vertical="center" wrapText="1"/>
    </xf>
    <xf numFmtId="0" fontId="39" fillId="0" borderId="3" xfId="0" applyFont="1" applyBorder="1" applyAlignment="1">
      <alignment horizontal="center" vertical="center" wrapText="1"/>
    </xf>
    <xf numFmtId="0" fontId="44" fillId="0" borderId="43" xfId="0" applyFont="1" applyBorder="1" applyAlignment="1">
      <alignment horizontal="center" vertical="center" wrapText="1"/>
    </xf>
    <xf numFmtId="0" fontId="44" fillId="0" borderId="3" xfId="0" applyFont="1" applyBorder="1" applyAlignment="1">
      <alignment horizontal="center" vertical="center" wrapText="1"/>
    </xf>
    <xf numFmtId="0" fontId="45" fillId="0" borderId="43" xfId="0" applyFont="1" applyBorder="1" applyAlignment="1">
      <alignment horizontal="center" vertical="center" wrapText="1"/>
    </xf>
    <xf numFmtId="0" fontId="46" fillId="0" borderId="3" xfId="0" applyFont="1" applyBorder="1" applyAlignment="1">
      <alignment horizontal="center" vertical="center" wrapText="1"/>
    </xf>
    <xf numFmtId="0" fontId="0" fillId="0" borderId="0" xfId="0" applyAlignment="1">
      <alignment horizontal="center" vertical="center" wrapText="1"/>
    </xf>
    <xf numFmtId="0" fontId="56" fillId="0" borderId="32" xfId="17" applyBorder="1" applyAlignment="1">
      <alignment horizontal="left" vertical="center" wrapText="1"/>
    </xf>
    <xf numFmtId="0" fontId="10" fillId="9" borderId="76" xfId="7" applyBorder="1" applyAlignment="1">
      <alignment horizontal="center" vertical="center"/>
    </xf>
    <xf numFmtId="0" fontId="10" fillId="9" borderId="77" xfId="7" applyBorder="1" applyAlignment="1">
      <alignment horizontal="center" vertical="center"/>
    </xf>
    <xf numFmtId="0" fontId="0" fillId="0" borderId="26" xfId="0" applyBorder="1" applyAlignment="1" applyProtection="1">
      <alignment horizontal="left" vertical="top" wrapText="1"/>
      <protection locked="0"/>
    </xf>
    <xf numFmtId="0" fontId="0" fillId="0" borderId="73"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5" fillId="0" borderId="55" xfId="16" applyAlignment="1">
      <alignment horizontal="center" vertical="center" wrapText="1"/>
    </xf>
    <xf numFmtId="0" fontId="69" fillId="0" borderId="0" xfId="0" applyFont="1" applyAlignment="1">
      <alignment horizontal="left" vertical="top" wrapText="1"/>
    </xf>
    <xf numFmtId="0" fontId="69" fillId="0" borderId="0" xfId="0" applyFont="1" applyAlignment="1">
      <alignment horizontal="left" vertical="top"/>
    </xf>
    <xf numFmtId="0" fontId="71" fillId="0" borderId="0" xfId="0" applyFont="1" applyAlignment="1">
      <alignment horizontal="left" vertical="top" wrapText="1"/>
    </xf>
    <xf numFmtId="0" fontId="10" fillId="9" borderId="78" xfId="7" applyBorder="1" applyAlignment="1">
      <alignment horizontal="center" vertical="center"/>
    </xf>
    <xf numFmtId="0" fontId="0" fillId="0" borderId="33" xfId="0" applyBorder="1" applyAlignment="1">
      <alignment horizontal="center" vertical="center" wrapText="1"/>
    </xf>
    <xf numFmtId="0" fontId="35" fillId="0" borderId="83" xfId="16" applyBorder="1" applyAlignment="1">
      <alignment horizontal="center" vertical="center"/>
    </xf>
    <xf numFmtId="0" fontId="35" fillId="0" borderId="84" xfId="16" applyBorder="1" applyAlignment="1">
      <alignment horizontal="center" vertical="center"/>
    </xf>
    <xf numFmtId="0" fontId="35" fillId="0" borderId="85" xfId="16" applyBorder="1" applyAlignment="1">
      <alignment horizontal="center" vertical="center"/>
    </xf>
    <xf numFmtId="0" fontId="35" fillId="0" borderId="86" xfId="16" applyBorder="1" applyAlignment="1">
      <alignment horizontal="center" vertical="center"/>
    </xf>
    <xf numFmtId="0" fontId="35" fillId="0" borderId="87" xfId="16" applyBorder="1" applyAlignment="1">
      <alignment horizontal="center" vertical="center"/>
    </xf>
    <xf numFmtId="0" fontId="35" fillId="0" borderId="89" xfId="16" applyBorder="1" applyAlignment="1">
      <alignment horizontal="center" vertical="center"/>
    </xf>
    <xf numFmtId="0" fontId="35" fillId="0" borderId="0" xfId="16" applyBorder="1" applyAlignment="1">
      <alignment horizontal="center" vertical="center"/>
    </xf>
    <xf numFmtId="0" fontId="35" fillId="0" borderId="90" xfId="16" applyBorder="1" applyAlignment="1">
      <alignment horizontal="center" vertical="center"/>
    </xf>
    <xf numFmtId="0" fontId="3" fillId="12" borderId="0" xfId="10" applyAlignment="1">
      <alignment horizontal="center" vertical="center"/>
    </xf>
    <xf numFmtId="0" fontId="3" fillId="12" borderId="35" xfId="10" applyBorder="1" applyAlignment="1">
      <alignment horizontal="center" vertical="center"/>
    </xf>
    <xf numFmtId="0" fontId="0" fillId="0" borderId="42" xfId="0" applyBorder="1" applyAlignment="1">
      <alignment horizontal="center" vertical="center" wrapText="1"/>
    </xf>
    <xf numFmtId="0" fontId="0" fillId="0" borderId="32" xfId="0" applyBorder="1" applyAlignment="1">
      <alignment horizontal="center" vertical="center" wrapText="1"/>
    </xf>
    <xf numFmtId="0" fontId="56" fillId="0" borderId="18" xfId="17" applyBorder="1" applyAlignment="1">
      <alignment horizontal="left" vertical="top" wrapText="1"/>
    </xf>
    <xf numFmtId="0" fontId="56" fillId="0" borderId="0" xfId="17" applyAlignment="1">
      <alignment horizontal="left" vertical="top"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78" fillId="0" borderId="91" xfId="0" applyFont="1" applyBorder="1" applyAlignment="1">
      <alignment horizontal="center" vertical="center" wrapText="1"/>
    </xf>
    <xf numFmtId="0" fontId="78" fillId="0" borderId="92" xfId="0" applyFont="1" applyBorder="1" applyAlignment="1">
      <alignment horizontal="center" vertical="center" wrapText="1"/>
    </xf>
    <xf numFmtId="0" fontId="78" fillId="0" borderId="93" xfId="0" applyFont="1" applyBorder="1" applyAlignment="1">
      <alignment horizontal="center" vertical="center" wrapText="1"/>
    </xf>
    <xf numFmtId="0" fontId="78" fillId="0" borderId="94" xfId="0" applyFont="1" applyBorder="1" applyAlignment="1">
      <alignment horizontal="center" vertical="center" wrapText="1"/>
    </xf>
    <xf numFmtId="0" fontId="78" fillId="0" borderId="0" xfId="0" applyFont="1" applyAlignment="1">
      <alignment horizontal="center" vertical="center" wrapText="1"/>
    </xf>
    <xf numFmtId="0" fontId="78" fillId="0" borderId="95" xfId="0" applyFont="1" applyBorder="1" applyAlignment="1">
      <alignment horizontal="center" vertical="center" wrapText="1"/>
    </xf>
    <xf numFmtId="0" fontId="78" fillId="0" borderId="96" xfId="0" applyFont="1" applyBorder="1" applyAlignment="1">
      <alignment horizontal="center" vertical="center" wrapText="1"/>
    </xf>
    <xf numFmtId="0" fontId="78" fillId="0" borderId="97" xfId="0" applyFont="1" applyBorder="1" applyAlignment="1">
      <alignment horizontal="center" vertical="center" wrapText="1"/>
    </xf>
    <xf numFmtId="0" fontId="78" fillId="0" borderId="98" xfId="0" applyFont="1" applyBorder="1" applyAlignment="1">
      <alignment horizontal="center" vertical="center" wrapText="1"/>
    </xf>
    <xf numFmtId="0" fontId="71" fillId="0" borderId="91" xfId="0" applyFont="1" applyBorder="1" applyAlignment="1">
      <alignment horizontal="center" vertical="center" wrapText="1"/>
    </xf>
    <xf numFmtId="0" fontId="71" fillId="0" borderId="92" xfId="0" applyFont="1" applyBorder="1" applyAlignment="1">
      <alignment horizontal="center" vertical="center" wrapText="1"/>
    </xf>
    <xf numFmtId="0" fontId="71" fillId="0" borderId="93" xfId="0" applyFont="1" applyBorder="1" applyAlignment="1">
      <alignment horizontal="center" vertical="center" wrapText="1"/>
    </xf>
    <xf numFmtId="0" fontId="71" fillId="0" borderId="94" xfId="0" applyFont="1" applyBorder="1" applyAlignment="1">
      <alignment horizontal="center" vertical="center" wrapText="1"/>
    </xf>
    <xf numFmtId="0" fontId="71" fillId="0" borderId="0" xfId="0" applyFont="1" applyAlignment="1">
      <alignment horizontal="center" vertical="center" wrapText="1"/>
    </xf>
    <xf numFmtId="0" fontId="71" fillId="0" borderId="95" xfId="0" applyFont="1" applyBorder="1" applyAlignment="1">
      <alignment horizontal="center" vertical="center" wrapText="1"/>
    </xf>
    <xf numFmtId="0" fontId="71" fillId="0" borderId="96" xfId="0" applyFont="1" applyBorder="1" applyAlignment="1">
      <alignment horizontal="center" vertical="center" wrapText="1"/>
    </xf>
    <xf numFmtId="0" fontId="71" fillId="0" borderId="97" xfId="0" applyFont="1" applyBorder="1" applyAlignment="1">
      <alignment horizontal="center" vertical="center" wrapText="1"/>
    </xf>
    <xf numFmtId="0" fontId="71" fillId="0" borderId="98" xfId="0" applyFont="1" applyBorder="1" applyAlignment="1">
      <alignment horizontal="center" vertical="center" wrapText="1"/>
    </xf>
    <xf numFmtId="0" fontId="32" fillId="0" borderId="16" xfId="0" applyFont="1" applyBorder="1" applyAlignment="1">
      <alignment horizontal="center" vertical="center"/>
    </xf>
    <xf numFmtId="0" fontId="31" fillId="20" borderId="0" xfId="0" applyFont="1" applyFill="1" applyAlignment="1">
      <alignment horizontal="center" vertical="center"/>
    </xf>
    <xf numFmtId="0" fontId="52" fillId="0" borderId="0" xfId="0" applyFont="1" applyAlignment="1">
      <alignment horizontal="left" vertical="top" wrapText="1"/>
    </xf>
    <xf numFmtId="0" fontId="0" fillId="0" borderId="0" xfId="0" applyAlignment="1">
      <alignment horizontal="left" vertical="top" wrapText="1"/>
    </xf>
    <xf numFmtId="0" fontId="75" fillId="0" borderId="0" xfId="17" applyFont="1" applyAlignment="1">
      <alignment horizontal="left" vertical="top" wrapText="1"/>
    </xf>
    <xf numFmtId="0" fontId="75" fillId="0" borderId="2" xfId="17" applyFont="1" applyBorder="1" applyAlignment="1">
      <alignment horizontal="left" vertical="top" wrapText="1"/>
    </xf>
    <xf numFmtId="0" fontId="35" fillId="0" borderId="0" xfId="16" applyBorder="1" applyAlignment="1">
      <alignment horizontal="center" vertical="center" wrapText="1"/>
    </xf>
    <xf numFmtId="0" fontId="27" fillId="0" borderId="0" xfId="0" applyFont="1" applyAlignment="1">
      <alignment horizontal="left" vertical="top" wrapText="1"/>
    </xf>
    <xf numFmtId="0" fontId="52" fillId="0" borderId="99" xfId="0" applyFont="1" applyBorder="1" applyAlignment="1">
      <alignment horizontal="left" vertical="top" wrapText="1"/>
    </xf>
    <xf numFmtId="0" fontId="0" fillId="0" borderId="100" xfId="0" applyBorder="1" applyAlignment="1">
      <alignment horizontal="left" vertical="top" wrapText="1"/>
    </xf>
    <xf numFmtId="0" fontId="0" fillId="0" borderId="101" xfId="0" applyBorder="1" applyAlignment="1">
      <alignment horizontal="left" vertical="top" wrapText="1"/>
    </xf>
    <xf numFmtId="0" fontId="7" fillId="0" borderId="0" xfId="0" applyFont="1" applyAlignment="1">
      <alignment horizontal="center" vertical="center" wrapText="1"/>
    </xf>
    <xf numFmtId="0" fontId="69" fillId="0" borderId="82" xfId="0" applyFont="1" applyBorder="1" applyAlignment="1">
      <alignment horizontal="left" vertical="top" wrapText="1"/>
    </xf>
    <xf numFmtId="164" fontId="75" fillId="0" borderId="15" xfId="17" applyNumberFormat="1" applyFont="1" applyBorder="1" applyAlignment="1">
      <alignment horizontal="left" vertical="center"/>
    </xf>
    <xf numFmtId="0" fontId="74" fillId="0" borderId="0" xfId="0" applyFont="1" applyAlignment="1">
      <alignment horizontal="left" vertical="top" wrapText="1"/>
    </xf>
    <xf numFmtId="0" fontId="73" fillId="0" borderId="79" xfId="16" applyFont="1" applyBorder="1" applyAlignment="1">
      <alignment horizontal="center" vertical="center" textRotation="90"/>
    </xf>
    <xf numFmtId="0" fontId="73" fillId="0" borderId="80" xfId="16" applyFont="1" applyBorder="1" applyAlignment="1">
      <alignment horizontal="center" vertical="center" textRotation="90"/>
    </xf>
    <xf numFmtId="0" fontId="73" fillId="0" borderId="81" xfId="16" applyFont="1" applyBorder="1" applyAlignment="1">
      <alignment horizontal="center" vertical="center" textRotation="90"/>
    </xf>
    <xf numFmtId="0" fontId="16" fillId="0" borderId="30" xfId="8" applyAlignment="1">
      <alignment horizontal="center" vertical="center" wrapText="1"/>
    </xf>
    <xf numFmtId="0" fontId="76" fillId="0" borderId="0" xfId="0" applyFont="1" applyAlignment="1">
      <alignment horizontal="center" vertical="center" wrapText="1"/>
    </xf>
    <xf numFmtId="0" fontId="30" fillId="0" borderId="0" xfId="0" applyFont="1" applyAlignment="1">
      <alignment horizontal="center" vertical="center" wrapText="1"/>
    </xf>
    <xf numFmtId="0" fontId="30" fillId="0" borderId="36" xfId="0" applyFont="1" applyBorder="1" applyAlignment="1">
      <alignment horizontal="center" vertical="center" wrapText="1"/>
    </xf>
    <xf numFmtId="0" fontId="51" fillId="28" borderId="0" xfId="0" applyFont="1" applyFill="1" applyAlignment="1">
      <alignment horizontal="center" vertical="center"/>
    </xf>
    <xf numFmtId="0" fontId="51" fillId="29" borderId="0" xfId="0" applyFont="1" applyFill="1" applyAlignment="1">
      <alignment horizontal="center" vertical="center"/>
    </xf>
    <xf numFmtId="0" fontId="51" fillId="30" borderId="0" xfId="0" applyFont="1" applyFill="1" applyAlignment="1">
      <alignment horizontal="center" vertical="center"/>
    </xf>
    <xf numFmtId="0" fontId="51" fillId="31" borderId="0" xfId="0" applyFont="1" applyFill="1" applyAlignment="1">
      <alignment horizontal="center" vertical="center"/>
    </xf>
    <xf numFmtId="0" fontId="51" fillId="32" borderId="0" xfId="0" applyFont="1" applyFill="1" applyAlignment="1">
      <alignment horizontal="center" vertical="center"/>
    </xf>
    <xf numFmtId="0" fontId="49" fillId="28" borderId="2" xfId="0" applyFont="1" applyFill="1" applyBorder="1" applyAlignment="1">
      <alignment horizontal="center" vertical="center"/>
    </xf>
    <xf numFmtId="0" fontId="49" fillId="28" borderId="10" xfId="0" applyFont="1" applyFill="1" applyBorder="1" applyAlignment="1">
      <alignment horizontal="center" vertical="center"/>
    </xf>
    <xf numFmtId="0" fontId="49" fillId="29" borderId="9" xfId="0" applyFont="1" applyFill="1" applyBorder="1" applyAlignment="1">
      <alignment horizontal="center" vertical="center"/>
    </xf>
    <xf numFmtId="0" fontId="49" fillId="29" borderId="2" xfId="0" applyFont="1" applyFill="1" applyBorder="1" applyAlignment="1">
      <alignment horizontal="center" vertical="center"/>
    </xf>
    <xf numFmtId="0" fontId="49" fillId="29" borderId="10" xfId="0" applyFont="1" applyFill="1" applyBorder="1" applyAlignment="1">
      <alignment horizontal="center" vertical="center"/>
    </xf>
    <xf numFmtId="0" fontId="49" fillId="30" borderId="9" xfId="0" applyFont="1" applyFill="1" applyBorder="1" applyAlignment="1">
      <alignment horizontal="center" vertical="center"/>
    </xf>
    <xf numFmtId="0" fontId="49" fillId="30" borderId="2" xfId="0" applyFont="1" applyFill="1" applyBorder="1" applyAlignment="1">
      <alignment horizontal="center" vertical="center"/>
    </xf>
    <xf numFmtId="0" fontId="49" fillId="30" borderId="10" xfId="0" applyFont="1" applyFill="1" applyBorder="1" applyAlignment="1">
      <alignment horizontal="center" vertical="center"/>
    </xf>
    <xf numFmtId="0" fontId="49" fillId="31" borderId="9" xfId="0" applyFont="1" applyFill="1" applyBorder="1" applyAlignment="1">
      <alignment horizontal="center" vertical="center"/>
    </xf>
    <xf numFmtId="0" fontId="49" fillId="31" borderId="2" xfId="0" applyFont="1" applyFill="1" applyBorder="1" applyAlignment="1">
      <alignment horizontal="center" vertical="center"/>
    </xf>
    <xf numFmtId="0" fontId="49" fillId="31" borderId="61" xfId="0" applyFont="1" applyFill="1" applyBorder="1" applyAlignment="1">
      <alignment horizontal="center" vertical="center"/>
    </xf>
    <xf numFmtId="0" fontId="49" fillId="32" borderId="62" xfId="0" applyFont="1" applyFill="1" applyBorder="1" applyAlignment="1">
      <alignment horizontal="center" vertical="center"/>
    </xf>
    <xf numFmtId="0" fontId="49" fillId="32" borderId="2" xfId="0" applyFont="1" applyFill="1" applyBorder="1" applyAlignment="1">
      <alignment horizontal="center" vertical="center"/>
    </xf>
    <xf numFmtId="0" fontId="77" fillId="0" borderId="17" xfId="0" applyFont="1" applyBorder="1" applyAlignment="1" applyProtection="1">
      <alignment horizontal="center" vertical="center"/>
      <protection locked="0"/>
    </xf>
    <xf numFmtId="0" fontId="77" fillId="0" borderId="16" xfId="0" applyFont="1" applyBorder="1" applyAlignment="1" applyProtection="1">
      <alignment horizontal="center" vertical="center"/>
      <protection locked="0"/>
    </xf>
    <xf numFmtId="0" fontId="67" fillId="35" borderId="0" xfId="0" applyFont="1" applyFill="1" applyAlignment="1">
      <alignment horizontal="center" vertical="center" wrapText="1"/>
    </xf>
    <xf numFmtId="0" fontId="74" fillId="0" borderId="102" xfId="0" applyFont="1" applyBorder="1" applyAlignment="1">
      <alignment horizontal="left" vertical="top" wrapText="1"/>
    </xf>
  </cellXfs>
  <cellStyles count="18">
    <cellStyle name="20% - Colore 1" xfId="11" builtinId="30"/>
    <cellStyle name="20% - Colore 5" xfId="12" builtinId="46"/>
    <cellStyle name="40% - Colore 3" xfId="10" builtinId="39"/>
    <cellStyle name="60% - Colore 6" xfId="14" builtinId="52"/>
    <cellStyle name="Colore 1" xfId="1" builtinId="29"/>
    <cellStyle name="Colore 2" xfId="2" builtinId="33"/>
    <cellStyle name="Colore 3" xfId="3" builtinId="37"/>
    <cellStyle name="Colore 4" xfId="4" builtinId="41"/>
    <cellStyle name="Colore 5" xfId="5" builtinId="45"/>
    <cellStyle name="Colore 6" xfId="6" builtinId="49"/>
    <cellStyle name="Normale" xfId="0" builtinId="0"/>
    <cellStyle name="Output" xfId="7" builtinId="21"/>
    <cellStyle name="Percentuale" xfId="15" builtinId="5"/>
    <cellStyle name="Testo descrittivo" xfId="17" builtinId="53"/>
    <cellStyle name="Titolo 1" xfId="16" builtinId="16"/>
    <cellStyle name="Titolo 2" xfId="13" builtinId="17"/>
    <cellStyle name="Titolo 3" xfId="8" builtinId="18"/>
    <cellStyle name="Totale" xfId="9" builtinId="25"/>
  </cellStyles>
  <dxfs count="24">
    <dxf>
      <fill>
        <patternFill>
          <bgColor theme="4" tint="0.39994506668294322"/>
        </patternFill>
      </fill>
    </dxf>
    <dxf>
      <fill>
        <patternFill>
          <bgColor theme="4" tint="0.39994506668294322"/>
        </patternFill>
      </fill>
    </dxf>
    <dxf>
      <fill>
        <patternFill>
          <bgColor rgb="FFFBD3B9"/>
        </patternFill>
      </fill>
    </dxf>
    <dxf>
      <fill>
        <patternFill>
          <bgColor rgb="FFFF888C"/>
        </patternFill>
      </fill>
    </dxf>
    <dxf>
      <fill>
        <patternFill>
          <bgColor rgb="FFFFF5D3"/>
        </patternFill>
      </fill>
    </dxf>
    <dxf>
      <fill>
        <patternFill>
          <bgColor theme="6" tint="0.59996337778862885"/>
        </patternFill>
      </fill>
    </dxf>
    <dxf>
      <numFmt numFmtId="30" formatCode="@"/>
    </dxf>
    <dxf>
      <font>
        <color rgb="FF9C5700"/>
      </font>
      <fill>
        <patternFill>
          <bgColor rgb="FFFFEB9C"/>
        </patternFill>
      </fill>
    </dxf>
    <dxf>
      <font>
        <b val="0"/>
        <i val="0"/>
        <color theme="3" tint="-0.24994659260841701"/>
      </font>
      <fill>
        <patternFill>
          <fgColor theme="4" tint="0.39994506668294322"/>
          <bgColor theme="4" tint="0.59996337778862885"/>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left"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border>
      <protection locked="0" hidden="0"/>
    </dxf>
    <dxf>
      <alignment horizontal="center" vertical="center" textRotation="0" wrapText="0" indent="0" justifyLastLine="0" shrinkToFit="0" readingOrder="0"/>
      <border diagonalUp="0" diagonalDown="0" outline="0">
        <left style="thin">
          <color theme="4" tint="-0.499984740745262"/>
        </left>
        <right style="thin">
          <color theme="4" tint="-0.499984740745262"/>
        </right>
        <top style="thin">
          <color theme="4" tint="-0.499984740745262"/>
        </top>
        <bottom style="thin">
          <color theme="4" tint="-0.499984740745262"/>
        </bottom>
      </border>
      <protection locked="1" hidden="0"/>
    </dxf>
    <dxf>
      <alignment horizontal="center"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border>
      <protection locked="0" hidden="0"/>
    </dxf>
    <dxf>
      <alignment horizontal="center"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protection locked="0" hidden="0"/>
    </dxf>
    <dxf>
      <alignment horizontal="left"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protection locked="0" hidden="0"/>
    </dxf>
    <dxf>
      <alignment horizontal="left" vertical="center" textRotation="0" wrapText="0" indent="0" justifyLastLine="0" shrinkToFit="0" readingOrder="0"/>
      <border diagonalUp="0" diagonalDown="0">
        <left style="thin">
          <color theme="4" tint="-0.499984740745262"/>
        </left>
        <right style="thin">
          <color theme="4" tint="-0.499984740745262"/>
        </right>
        <top style="thin">
          <color theme="4" tint="-0.499984740745262"/>
        </top>
        <bottom style="thin">
          <color theme="4" tint="-0.499984740745262"/>
        </bottom>
        <vertical style="thin">
          <color theme="4" tint="-0.499984740745262"/>
        </vertical>
        <horizontal style="thin">
          <color theme="4" tint="-0.499984740745262"/>
        </horizontal>
      </border>
      <protection locked="0" hidden="0"/>
    </dxf>
    <dxf>
      <border outline="0">
        <left style="medium">
          <color indexed="64"/>
        </left>
        <right style="medium">
          <color indexed="64"/>
        </right>
        <top style="medium">
          <color indexed="64"/>
        </top>
      </border>
    </dxf>
    <dxf>
      <protection locked="0" hidden="0"/>
    </dxf>
    <dxf>
      <border outline="0">
        <bottom style="medium">
          <color indexed="64"/>
        </bottom>
      </border>
    </dxf>
    <dxf>
      <font>
        <b/>
        <i val="0"/>
        <strike val="0"/>
        <condense val="0"/>
        <extend val="0"/>
        <outline val="0"/>
        <shadow val="0"/>
        <u val="none"/>
        <vertAlign val="baseline"/>
        <sz val="11"/>
        <color theme="1"/>
        <name val="Times New Roman"/>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FF"/>
      <color rgb="FFCCCCFF"/>
      <color rgb="FF83F0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it-IT"/>
              <a:t>Progress tracker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it-IT"/>
        </a:p>
      </c:txPr>
    </c:title>
    <c:autoTitleDeleted val="0"/>
    <c:plotArea>
      <c:layout/>
      <c:lineChart>
        <c:grouping val="standard"/>
        <c:varyColors val="0"/>
        <c:ser>
          <c:idx val="0"/>
          <c:order val="0"/>
          <c:tx>
            <c:strRef>
              <c:f>'Weekly Progress'!$H$1</c:f>
              <c:strCache>
                <c:ptCount val="1"/>
                <c:pt idx="0">
                  <c:v>Rest</c:v>
                </c:pt>
              </c:strCache>
            </c:strRef>
          </c:tx>
          <c:spPr>
            <a:ln w="22225" cap="rnd">
              <a:solidFill>
                <a:schemeClr val="accent1"/>
              </a:solidFill>
            </a:ln>
            <a:effectLst>
              <a:glow rad="139700">
                <a:schemeClr val="accent1">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Progress'!$H$2:$H$53</c:f>
              <c:numCache>
                <c:formatCode>General</c:formatCode>
                <c:ptCount val="52"/>
              </c:numCache>
            </c:numRef>
          </c:val>
          <c:smooth val="0"/>
          <c:extLst>
            <c:ext xmlns:c16="http://schemas.microsoft.com/office/drawing/2014/chart" uri="{C3380CC4-5D6E-409C-BE32-E72D297353CC}">
              <c16:uniqueId val="{00000000-0FD0-41B9-9DAC-000F1CF31BDD}"/>
            </c:ext>
          </c:extLst>
        </c:ser>
        <c:ser>
          <c:idx val="1"/>
          <c:order val="1"/>
          <c:tx>
            <c:strRef>
              <c:f>'Weekly Progress'!$I$1</c:f>
              <c:strCache>
                <c:ptCount val="1"/>
                <c:pt idx="0">
                  <c:v>Sport</c:v>
                </c:pt>
              </c:strCache>
            </c:strRef>
          </c:tx>
          <c:spPr>
            <a:ln w="22225" cap="rnd">
              <a:solidFill>
                <a:schemeClr val="accent2"/>
              </a:solidFill>
            </a:ln>
            <a:effectLst>
              <a:glow rad="139700">
                <a:schemeClr val="accent2">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Progress'!$I$2:$I$53</c:f>
              <c:numCache>
                <c:formatCode>General</c:formatCode>
                <c:ptCount val="52"/>
              </c:numCache>
            </c:numRef>
          </c:val>
          <c:smooth val="0"/>
          <c:extLst>
            <c:ext xmlns:c16="http://schemas.microsoft.com/office/drawing/2014/chart" uri="{C3380CC4-5D6E-409C-BE32-E72D297353CC}">
              <c16:uniqueId val="{00000001-0FD0-41B9-9DAC-000F1CF31BDD}"/>
            </c:ext>
          </c:extLst>
        </c:ser>
        <c:ser>
          <c:idx val="2"/>
          <c:order val="2"/>
          <c:tx>
            <c:strRef>
              <c:f>'Weekly Progress'!$J$1</c:f>
              <c:strCache>
                <c:ptCount val="1"/>
                <c:pt idx="0">
                  <c:v>Studying</c:v>
                </c:pt>
              </c:strCache>
            </c:strRef>
          </c:tx>
          <c:spPr>
            <a:ln w="22225" cap="rnd">
              <a:solidFill>
                <a:schemeClr val="accent3"/>
              </a:solidFill>
            </a:ln>
            <a:effectLst>
              <a:glow rad="139700">
                <a:schemeClr val="accent3">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Progress'!$J$2:$J$53</c:f>
              <c:numCache>
                <c:formatCode>General</c:formatCode>
                <c:ptCount val="52"/>
              </c:numCache>
            </c:numRef>
          </c:val>
          <c:smooth val="0"/>
          <c:extLst>
            <c:ext xmlns:c16="http://schemas.microsoft.com/office/drawing/2014/chart" uri="{C3380CC4-5D6E-409C-BE32-E72D297353CC}">
              <c16:uniqueId val="{00000002-0FD0-41B9-9DAC-000F1CF31BDD}"/>
            </c:ext>
          </c:extLst>
        </c:ser>
        <c:ser>
          <c:idx val="3"/>
          <c:order val="3"/>
          <c:tx>
            <c:strRef>
              <c:f>'Weekly Progress'!$K$1</c:f>
              <c:strCache>
                <c:ptCount val="1"/>
                <c:pt idx="0">
                  <c:v>Personal Projects</c:v>
                </c:pt>
              </c:strCache>
            </c:strRef>
          </c:tx>
          <c:spPr>
            <a:ln w="22225" cap="rnd">
              <a:solidFill>
                <a:schemeClr val="accent4"/>
              </a:solidFill>
            </a:ln>
            <a:effectLst>
              <a:glow rad="139700">
                <a:schemeClr val="accent4">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Progress'!$K$2:$K$53</c:f>
              <c:numCache>
                <c:formatCode>General</c:formatCode>
                <c:ptCount val="52"/>
              </c:numCache>
            </c:numRef>
          </c:val>
          <c:smooth val="0"/>
          <c:extLst>
            <c:ext xmlns:c16="http://schemas.microsoft.com/office/drawing/2014/chart" uri="{C3380CC4-5D6E-409C-BE32-E72D297353CC}">
              <c16:uniqueId val="{00000003-0FD0-41B9-9DAC-000F1CF31BDD}"/>
            </c:ext>
          </c:extLst>
        </c:ser>
        <c:ser>
          <c:idx val="4"/>
          <c:order val="4"/>
          <c:tx>
            <c:strRef>
              <c:f>'Weekly Progress'!$L$1</c:f>
              <c:strCache>
                <c:ptCount val="1"/>
                <c:pt idx="0">
                  <c:v>Family</c:v>
                </c:pt>
              </c:strCache>
            </c:strRef>
          </c:tx>
          <c:spPr>
            <a:ln w="22225" cap="rnd">
              <a:solidFill>
                <a:schemeClr val="accent5"/>
              </a:solidFill>
            </a:ln>
            <a:effectLst>
              <a:glow rad="139700">
                <a:schemeClr val="accent5">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Progress'!$L$2:$L$53</c:f>
              <c:numCache>
                <c:formatCode>General</c:formatCode>
                <c:ptCount val="52"/>
              </c:numCache>
            </c:numRef>
          </c:val>
          <c:smooth val="0"/>
          <c:extLst>
            <c:ext xmlns:c16="http://schemas.microsoft.com/office/drawing/2014/chart" uri="{C3380CC4-5D6E-409C-BE32-E72D297353CC}">
              <c16:uniqueId val="{00000004-0FD0-41B9-9DAC-000F1CF31BDD}"/>
            </c:ext>
          </c:extLst>
        </c:ser>
        <c:ser>
          <c:idx val="5"/>
          <c:order val="5"/>
          <c:tx>
            <c:strRef>
              <c:f>'Weekly Progress'!$M$1</c:f>
              <c:strCache>
                <c:ptCount val="1"/>
                <c:pt idx="0">
                  <c:v>Free Time</c:v>
                </c:pt>
              </c:strCache>
            </c:strRef>
          </c:tx>
          <c:spPr>
            <a:ln w="22225" cap="rnd">
              <a:solidFill>
                <a:schemeClr val="accent6"/>
              </a:solidFill>
            </a:ln>
            <a:effectLst>
              <a:glow rad="139700">
                <a:schemeClr val="accent6">
                  <a:satMod val="175000"/>
                  <a:alpha val="14000"/>
                </a:schemeClr>
              </a:glow>
            </a:effectLst>
          </c:spPr>
          <c:marker>
            <c:symbol val="none"/>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Progress'!$M$2:$M$53</c:f>
              <c:numCache>
                <c:formatCode>General</c:formatCode>
                <c:ptCount val="52"/>
              </c:numCache>
            </c:numRef>
          </c:val>
          <c:smooth val="0"/>
          <c:extLst>
            <c:ext xmlns:c16="http://schemas.microsoft.com/office/drawing/2014/chart" uri="{C3380CC4-5D6E-409C-BE32-E72D297353CC}">
              <c16:uniqueId val="{00000005-0FD0-41B9-9DAC-000F1CF31BDD}"/>
            </c:ext>
          </c:extLst>
        </c:ser>
        <c:ser>
          <c:idx val="6"/>
          <c:order val="6"/>
          <c:tx>
            <c:strRef>
              <c:f>'Weekly Progress'!$N$1</c:f>
              <c:strCache>
                <c:ptCount val="1"/>
                <c:pt idx="0">
                  <c:v>Waste</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numRef>
              <c:f>'Weekly Progress'!$G$2:$G$53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Progress'!$N$2:$N$53</c:f>
            </c:numRef>
          </c:val>
          <c:smooth val="0"/>
          <c:extLst>
            <c:ext xmlns:c16="http://schemas.microsoft.com/office/drawing/2014/chart" uri="{C3380CC4-5D6E-409C-BE32-E72D297353CC}">
              <c16:uniqueId val="{00000006-0FD0-41B9-9DAC-000F1CF31BDD}"/>
            </c:ext>
          </c:extLst>
        </c:ser>
        <c:dLbls>
          <c:showLegendKey val="0"/>
          <c:showVal val="0"/>
          <c:showCatName val="0"/>
          <c:showSerName val="0"/>
          <c:showPercent val="0"/>
          <c:showBubbleSize val="0"/>
        </c:dLbls>
        <c:smooth val="0"/>
        <c:axId val="718987816"/>
        <c:axId val="718995736"/>
      </c:lineChart>
      <c:catAx>
        <c:axId val="7189878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18995736"/>
        <c:crosses val="autoZero"/>
        <c:auto val="1"/>
        <c:lblAlgn val="ctr"/>
        <c:lblOffset val="100"/>
        <c:noMultiLvlLbl val="0"/>
      </c:catAx>
      <c:valAx>
        <c:axId val="718995736"/>
        <c:scaling>
          <c:orientation val="minMax"/>
          <c:max val="5"/>
          <c:min val="1"/>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18987816"/>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Progress Tracker</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'Weekly Progress'!$C$2:$C$53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Progress'!$D$2:$D$53</c:f>
              <c:numCache>
                <c:formatCode>General</c:formatCode>
                <c:ptCount val="52"/>
              </c:numCache>
            </c:numRef>
          </c:val>
          <c:smooth val="0"/>
          <c:extLst>
            <c:ext xmlns:c16="http://schemas.microsoft.com/office/drawing/2014/chart" uri="{C3380CC4-5D6E-409C-BE32-E72D297353CC}">
              <c16:uniqueId val="{00000001-B510-4DC4-9621-B195348B87E6}"/>
            </c:ext>
          </c:extLst>
        </c:ser>
        <c:ser>
          <c:idx val="1"/>
          <c:order val="1"/>
          <c:tx>
            <c:v>Well-Being</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'Weekly Progress'!$C$2:$C$53</c:f>
              <c:numCache>
                <c:formatCode>General</c:formatCod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numCache>
            </c:numRef>
          </c:cat>
          <c:val>
            <c:numRef>
              <c:f>'Weekly Progress'!$E$2:$E$53</c:f>
              <c:numCache>
                <c:formatCode>0.0</c:formatCode>
                <c:ptCount val="52"/>
              </c:numCache>
            </c:numRef>
          </c:val>
          <c:smooth val="0"/>
          <c:extLst>
            <c:ext xmlns:c16="http://schemas.microsoft.com/office/drawing/2014/chart" uri="{C3380CC4-5D6E-409C-BE32-E72D297353CC}">
              <c16:uniqueId val="{00000002-B510-4DC4-9621-B195348B87E6}"/>
            </c:ext>
          </c:extLst>
        </c:ser>
        <c:dLbls>
          <c:showLegendKey val="0"/>
          <c:showVal val="0"/>
          <c:showCatName val="0"/>
          <c:showSerName val="0"/>
          <c:showPercent val="0"/>
          <c:showBubbleSize val="0"/>
        </c:dLbls>
        <c:smooth val="0"/>
        <c:axId val="634359272"/>
        <c:axId val="634360352"/>
      </c:lineChart>
      <c:catAx>
        <c:axId val="634359272"/>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t-IT"/>
          </a:p>
        </c:txPr>
        <c:crossAx val="634360352"/>
        <c:crosses val="autoZero"/>
        <c:auto val="1"/>
        <c:lblAlgn val="ctr"/>
        <c:lblOffset val="100"/>
        <c:noMultiLvlLbl val="0"/>
      </c:catAx>
      <c:valAx>
        <c:axId val="634360352"/>
        <c:scaling>
          <c:orientation val="minMax"/>
          <c:max val="5"/>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t-IT"/>
          </a:p>
        </c:txPr>
        <c:crossAx val="634359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t-IT"/>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it-IT"/>
              <a:t>Current Progress Tracker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it-IT"/>
        </a:p>
      </c:txPr>
    </c:title>
    <c:autoTitleDeleted val="0"/>
    <c:plotArea>
      <c:layout/>
      <c:barChart>
        <c:barDir val="bar"/>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cat>
            <c:strRef>
              <c:f>'Progress calculator'!$M$14:$M$19</c:f>
              <c:strCache>
                <c:ptCount val="6"/>
                <c:pt idx="0">
                  <c:v>Rest</c:v>
                </c:pt>
                <c:pt idx="1">
                  <c:v>Sport</c:v>
                </c:pt>
                <c:pt idx="2">
                  <c:v>Studying</c:v>
                </c:pt>
                <c:pt idx="3">
                  <c:v>Personal Projects</c:v>
                </c:pt>
                <c:pt idx="4">
                  <c:v>Family</c:v>
                </c:pt>
                <c:pt idx="5">
                  <c:v>Freetime</c:v>
                </c:pt>
              </c:strCache>
            </c:strRef>
          </c:cat>
          <c:val>
            <c:numRef>
              <c:f>'Progress calculator'!$S$14:$S$19</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5461-499D-9290-BFD816083487}"/>
            </c:ext>
          </c:extLst>
        </c:ser>
        <c:dLbls>
          <c:showLegendKey val="0"/>
          <c:showVal val="0"/>
          <c:showCatName val="0"/>
          <c:showSerName val="0"/>
          <c:showPercent val="0"/>
          <c:showBubbleSize val="0"/>
        </c:dLbls>
        <c:gapWidth val="182"/>
        <c:overlap val="-50"/>
        <c:axId val="751105344"/>
        <c:axId val="751105704"/>
      </c:barChart>
      <c:catAx>
        <c:axId val="75110534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51105704"/>
        <c:crosses val="autoZero"/>
        <c:auto val="1"/>
        <c:lblAlgn val="ctr"/>
        <c:lblOffset val="100"/>
        <c:noMultiLvlLbl val="0"/>
      </c:catAx>
      <c:valAx>
        <c:axId val="751105704"/>
        <c:scaling>
          <c:orientation val="minMax"/>
          <c:max val="5"/>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51105344"/>
        <c:crosses val="autoZero"/>
        <c:crossBetween val="between"/>
        <c:majorUnit val="1"/>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it-IT"/>
              <a:t>Current Well - Being</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it-IT"/>
        </a:p>
      </c:txPr>
    </c:title>
    <c:autoTitleDeleted val="0"/>
    <c:plotArea>
      <c:layout/>
      <c:barChart>
        <c:barDir val="col"/>
        <c:grouping val="clustered"/>
        <c:varyColors val="0"/>
        <c:ser>
          <c:idx val="0"/>
          <c:order val="0"/>
          <c:tx>
            <c:strRef>
              <c:f>'Well-Being '!$B$10:$D$10</c:f>
              <c:strCache>
                <c:ptCount val="1"/>
                <c:pt idx="0">
                  <c:v>⚡  PHYSICAL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'Well-Being '!$A$20</c:f>
              <c:strCache>
                <c:ptCount val="1"/>
                <c:pt idx="0">
                  <c:v>Range Level</c:v>
                </c:pt>
              </c:strCache>
            </c:strRef>
          </c:cat>
          <c:val>
            <c:numRef>
              <c:f>'Well-Being '!$C$21</c:f>
              <c:numCache>
                <c:formatCode>General</c:formatCode>
                <c:ptCount val="1"/>
                <c:pt idx="0">
                  <c:v>0</c:v>
                </c:pt>
              </c:numCache>
            </c:numRef>
          </c:val>
          <c:extLst>
            <c:ext xmlns:c16="http://schemas.microsoft.com/office/drawing/2014/chart" uri="{C3380CC4-5D6E-409C-BE32-E72D297353CC}">
              <c16:uniqueId val="{00000000-EDEA-44F2-8977-3639AC4137DC}"/>
            </c:ext>
          </c:extLst>
        </c:ser>
        <c:ser>
          <c:idx val="1"/>
          <c:order val="1"/>
          <c:tx>
            <c:strRef>
              <c:f>'Well-Being '!$E$10:$G$10</c:f>
              <c:strCache>
                <c:ptCount val="1"/>
                <c:pt idx="0">
                  <c:v>🧠  MENTAL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'Well-Being '!$A$20</c:f>
              <c:strCache>
                <c:ptCount val="1"/>
                <c:pt idx="0">
                  <c:v>Range Level</c:v>
                </c:pt>
              </c:strCache>
            </c:strRef>
          </c:cat>
          <c:val>
            <c:numRef>
              <c:f>'Well-Being '!$F$21</c:f>
              <c:numCache>
                <c:formatCode>General</c:formatCode>
                <c:ptCount val="1"/>
                <c:pt idx="0">
                  <c:v>0</c:v>
                </c:pt>
              </c:numCache>
            </c:numRef>
          </c:val>
          <c:extLst>
            <c:ext xmlns:c16="http://schemas.microsoft.com/office/drawing/2014/chart" uri="{C3380CC4-5D6E-409C-BE32-E72D297353CC}">
              <c16:uniqueId val="{00000001-EDEA-44F2-8977-3639AC4137DC}"/>
            </c:ext>
          </c:extLst>
        </c:ser>
        <c:ser>
          <c:idx val="2"/>
          <c:order val="2"/>
          <c:tx>
            <c:strRef>
              <c:f>'Well-Being '!$H$10:$J$10</c:f>
              <c:strCache>
                <c:ptCount val="1"/>
                <c:pt idx="0">
                  <c:v>🌿  SOCIAL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'Well-Being '!$A$20</c:f>
              <c:strCache>
                <c:ptCount val="1"/>
                <c:pt idx="0">
                  <c:v>Range Level</c:v>
                </c:pt>
              </c:strCache>
            </c:strRef>
          </c:cat>
          <c:val>
            <c:numRef>
              <c:f>'Well-Being '!$I$21</c:f>
              <c:numCache>
                <c:formatCode>General</c:formatCode>
                <c:ptCount val="1"/>
                <c:pt idx="0">
                  <c:v>0</c:v>
                </c:pt>
              </c:numCache>
            </c:numRef>
          </c:val>
          <c:extLst>
            <c:ext xmlns:c16="http://schemas.microsoft.com/office/drawing/2014/chart" uri="{C3380CC4-5D6E-409C-BE32-E72D297353CC}">
              <c16:uniqueId val="{00000002-EDEA-44F2-8977-3639AC4137DC}"/>
            </c:ext>
          </c:extLst>
        </c:ser>
        <c:ser>
          <c:idx val="3"/>
          <c:order val="3"/>
          <c:tx>
            <c:strRef>
              <c:f>'Well-Being '!$K$10:$M$10</c:f>
              <c:strCache>
                <c:ptCount val="1"/>
                <c:pt idx="0">
                  <c:v>✨  SPIRITUAL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'Well-Being '!$A$20</c:f>
              <c:strCache>
                <c:ptCount val="1"/>
                <c:pt idx="0">
                  <c:v>Range Level</c:v>
                </c:pt>
              </c:strCache>
            </c:strRef>
          </c:cat>
          <c:val>
            <c:numRef>
              <c:f>'Well-Being '!$L$21</c:f>
              <c:numCache>
                <c:formatCode>General</c:formatCode>
                <c:ptCount val="1"/>
                <c:pt idx="0">
                  <c:v>0</c:v>
                </c:pt>
              </c:numCache>
            </c:numRef>
          </c:val>
          <c:extLst>
            <c:ext xmlns:c16="http://schemas.microsoft.com/office/drawing/2014/chart" uri="{C3380CC4-5D6E-409C-BE32-E72D297353CC}">
              <c16:uniqueId val="{00000003-EDEA-44F2-8977-3639AC4137DC}"/>
            </c:ext>
          </c:extLst>
        </c:ser>
        <c:ser>
          <c:idx val="4"/>
          <c:order val="4"/>
          <c:tx>
            <c:strRef>
              <c:f>'Well-Being '!$N$10:$P$10</c:f>
              <c:strCache>
                <c:ptCount val="1"/>
                <c:pt idx="0">
                  <c:v>📚  GROWTH</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'Well-Being '!$A$20</c:f>
              <c:strCache>
                <c:ptCount val="1"/>
                <c:pt idx="0">
                  <c:v>Range Level</c:v>
                </c:pt>
              </c:strCache>
            </c:strRef>
          </c:cat>
          <c:val>
            <c:numRef>
              <c:f>'Well-Being '!$O$21</c:f>
              <c:numCache>
                <c:formatCode>General</c:formatCode>
                <c:ptCount val="1"/>
                <c:pt idx="0">
                  <c:v>0</c:v>
                </c:pt>
              </c:numCache>
            </c:numRef>
          </c:val>
          <c:extLst>
            <c:ext xmlns:c16="http://schemas.microsoft.com/office/drawing/2014/chart" uri="{C3380CC4-5D6E-409C-BE32-E72D297353CC}">
              <c16:uniqueId val="{00000004-EDEA-44F2-8977-3639AC4137DC}"/>
            </c:ext>
          </c:extLst>
        </c:ser>
        <c:dLbls>
          <c:showLegendKey val="0"/>
          <c:showVal val="0"/>
          <c:showCatName val="0"/>
          <c:showSerName val="0"/>
          <c:showPercent val="0"/>
          <c:showBubbleSize val="0"/>
        </c:dLbls>
        <c:gapWidth val="315"/>
        <c:overlap val="-40"/>
        <c:axId val="762867624"/>
        <c:axId val="762866904"/>
      </c:barChart>
      <c:catAx>
        <c:axId val="7628676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62866904"/>
        <c:crosses val="autoZero"/>
        <c:auto val="1"/>
        <c:lblAlgn val="ctr"/>
        <c:lblOffset val="100"/>
        <c:noMultiLvlLbl val="0"/>
      </c:catAx>
      <c:valAx>
        <c:axId val="762866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762867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t-IT"/>
              <a:t>Satisfied</a:t>
            </a:r>
            <a:r>
              <a:rPr lang="it-IT" baseline="0"/>
              <a:t> Conditions (Current)</a:t>
            </a:r>
            <a:endParaRPr lang="it-IT"/>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it-IT"/>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'Well-Being '!$B$11:$P$11</c:f>
              <c:strCache>
                <c:ptCount val="15"/>
                <c:pt idx="0">
                  <c:v>Sleep quality</c:v>
                </c:pt>
                <c:pt idx="1">
                  <c:v>Energy level</c:v>
                </c:pt>
                <c:pt idx="2">
                  <c:v>Nutrition</c:v>
                </c:pt>
                <c:pt idx="3">
                  <c:v>Focus and concentration</c:v>
                </c:pt>
                <c:pt idx="4">
                  <c:v>Emotional calm</c:v>
                </c:pt>
                <c:pt idx="5">
                  <c:v>Intentionality</c:v>
                </c:pt>
                <c:pt idx="6">
                  <c:v>Social connection</c:v>
                </c:pt>
                <c:pt idx="7">
                  <c:v>Optimism about the future</c:v>
                </c:pt>
                <c:pt idx="8">
                  <c:v>Motivation and curiosity</c:v>
                </c:pt>
                <c:pt idx="9">
                  <c:v>Meditation or spiritual practice</c:v>
                </c:pt>
                <c:pt idx="10">
                  <c:v>Values alignment</c:v>
                </c:pt>
                <c:pt idx="11">
                  <c:v>Presence and gratitude</c:v>
                </c:pt>
                <c:pt idx="12">
                  <c:v>Reading</c:v>
                </c:pt>
                <c:pt idx="13">
                  <c:v>Self-reflection</c:v>
                </c:pt>
                <c:pt idx="14">
                  <c:v>Skill development</c:v>
                </c:pt>
              </c:strCache>
            </c:strRef>
          </c:cat>
          <c:val>
            <c:numRef>
              <c:f>'Well-Being '!$B$19:$P$19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9538-40BF-97F7-F39F3D2D2190}"/>
            </c:ext>
          </c:extLst>
        </c:ser>
        <c:dLbls>
          <c:showLegendKey val="0"/>
          <c:showVal val="0"/>
          <c:showCatName val="0"/>
          <c:showSerName val="0"/>
          <c:showPercent val="0"/>
          <c:showBubbleSize val="0"/>
        </c:dLbls>
        <c:gapWidth val="115"/>
        <c:overlap val="-20"/>
        <c:axId val="680909280"/>
        <c:axId val="680927640"/>
      </c:barChart>
      <c:catAx>
        <c:axId val="6809092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t-IT"/>
          </a:p>
        </c:txPr>
        <c:crossAx val="680927640"/>
        <c:crosses val="autoZero"/>
        <c:auto val="1"/>
        <c:lblAlgn val="ctr"/>
        <c:lblOffset val="100"/>
        <c:noMultiLvlLbl val="0"/>
      </c:catAx>
      <c:valAx>
        <c:axId val="6809276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it-IT"/>
          </a:p>
        </c:txPr>
        <c:crossAx val="68090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16.svg"/></Relationships>
</file>

<file path=xl/drawings/_rels/drawing2.xml.rels><?xml version="1.0" encoding="UTF-8" standalone="yes"?>
<Relationships xmlns="http://schemas.openxmlformats.org/package/2006/relationships"><Relationship Id="rId3" Type="http://schemas.openxmlformats.org/officeDocument/2006/relationships/image" Target="../media/image19.sv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svg"/><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95250</xdr:colOff>
      <xdr:row>18</xdr:row>
      <xdr:rowOff>123825</xdr:rowOff>
    </xdr:from>
    <xdr:to>
      <xdr:col>17</xdr:col>
      <xdr:colOff>533400</xdr:colOff>
      <xdr:row>18</xdr:row>
      <xdr:rowOff>381000</xdr:rowOff>
    </xdr:to>
    <xdr:sp macro="" textlink="">
      <xdr:nvSpPr>
        <xdr:cNvPr id="13" name="Freccia a destra 12">
          <a:extLst>
            <a:ext uri="{FF2B5EF4-FFF2-40B4-BE49-F238E27FC236}">
              <a16:creationId xmlns:a16="http://schemas.microsoft.com/office/drawing/2014/main" id="{0FF54CDB-DB22-462B-AFE9-3DB61757BB8F}"/>
            </a:ext>
          </a:extLst>
        </xdr:cNvPr>
        <xdr:cNvSpPr/>
      </xdr:nvSpPr>
      <xdr:spPr>
        <a:xfrm>
          <a:off x="4429125" y="323850"/>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17</xdr:col>
      <xdr:colOff>95250</xdr:colOff>
      <xdr:row>19</xdr:row>
      <xdr:rowOff>114300</xdr:rowOff>
    </xdr:from>
    <xdr:to>
      <xdr:col>17</xdr:col>
      <xdr:colOff>533400</xdr:colOff>
      <xdr:row>19</xdr:row>
      <xdr:rowOff>371475</xdr:rowOff>
    </xdr:to>
    <xdr:sp macro="" textlink="">
      <xdr:nvSpPr>
        <xdr:cNvPr id="14" name="Freccia a destra 13">
          <a:extLst>
            <a:ext uri="{FF2B5EF4-FFF2-40B4-BE49-F238E27FC236}">
              <a16:creationId xmlns:a16="http://schemas.microsoft.com/office/drawing/2014/main" id="{538AB3EA-1F51-421C-8BFD-B5EC4B885D2D}"/>
            </a:ext>
          </a:extLst>
        </xdr:cNvPr>
        <xdr:cNvSpPr/>
      </xdr:nvSpPr>
      <xdr:spPr>
        <a:xfrm>
          <a:off x="4429125" y="809625"/>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17</xdr:col>
      <xdr:colOff>104775</xdr:colOff>
      <xdr:row>20</xdr:row>
      <xdr:rowOff>133350</xdr:rowOff>
    </xdr:from>
    <xdr:to>
      <xdr:col>17</xdr:col>
      <xdr:colOff>542925</xdr:colOff>
      <xdr:row>20</xdr:row>
      <xdr:rowOff>390525</xdr:rowOff>
    </xdr:to>
    <xdr:sp macro="" textlink="">
      <xdr:nvSpPr>
        <xdr:cNvPr id="15" name="Freccia a destra 14">
          <a:extLst>
            <a:ext uri="{FF2B5EF4-FFF2-40B4-BE49-F238E27FC236}">
              <a16:creationId xmlns:a16="http://schemas.microsoft.com/office/drawing/2014/main" id="{527FD176-11D0-4558-8BF1-069051FD9360}"/>
            </a:ext>
          </a:extLst>
        </xdr:cNvPr>
        <xdr:cNvSpPr/>
      </xdr:nvSpPr>
      <xdr:spPr>
        <a:xfrm>
          <a:off x="4438650" y="1323975"/>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17</xdr:col>
      <xdr:colOff>104775</xdr:colOff>
      <xdr:row>21</xdr:row>
      <xdr:rowOff>114300</xdr:rowOff>
    </xdr:from>
    <xdr:to>
      <xdr:col>17</xdr:col>
      <xdr:colOff>542925</xdr:colOff>
      <xdr:row>21</xdr:row>
      <xdr:rowOff>371475</xdr:rowOff>
    </xdr:to>
    <xdr:sp macro="" textlink="">
      <xdr:nvSpPr>
        <xdr:cNvPr id="16" name="Freccia a destra 15">
          <a:extLst>
            <a:ext uri="{FF2B5EF4-FFF2-40B4-BE49-F238E27FC236}">
              <a16:creationId xmlns:a16="http://schemas.microsoft.com/office/drawing/2014/main" id="{4A662171-A0E2-4BD5-98AC-DD6CD0292D4E}"/>
            </a:ext>
          </a:extLst>
        </xdr:cNvPr>
        <xdr:cNvSpPr/>
      </xdr:nvSpPr>
      <xdr:spPr>
        <a:xfrm>
          <a:off x="4438650" y="1800225"/>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17</xdr:col>
      <xdr:colOff>104775</xdr:colOff>
      <xdr:row>22</xdr:row>
      <xdr:rowOff>123825</xdr:rowOff>
    </xdr:from>
    <xdr:to>
      <xdr:col>17</xdr:col>
      <xdr:colOff>542925</xdr:colOff>
      <xdr:row>22</xdr:row>
      <xdr:rowOff>381000</xdr:rowOff>
    </xdr:to>
    <xdr:sp macro="" textlink="">
      <xdr:nvSpPr>
        <xdr:cNvPr id="17" name="Freccia a destra 16">
          <a:extLst>
            <a:ext uri="{FF2B5EF4-FFF2-40B4-BE49-F238E27FC236}">
              <a16:creationId xmlns:a16="http://schemas.microsoft.com/office/drawing/2014/main" id="{EDD994EA-A2BB-4DF7-8578-861E9D2B04D2}"/>
            </a:ext>
          </a:extLst>
        </xdr:cNvPr>
        <xdr:cNvSpPr/>
      </xdr:nvSpPr>
      <xdr:spPr>
        <a:xfrm>
          <a:off x="4438650" y="2305050"/>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17</xdr:col>
      <xdr:colOff>114300</xdr:colOff>
      <xdr:row>23</xdr:row>
      <xdr:rowOff>114300</xdr:rowOff>
    </xdr:from>
    <xdr:to>
      <xdr:col>17</xdr:col>
      <xdr:colOff>552450</xdr:colOff>
      <xdr:row>23</xdr:row>
      <xdr:rowOff>371475</xdr:rowOff>
    </xdr:to>
    <xdr:sp macro="" textlink="">
      <xdr:nvSpPr>
        <xdr:cNvPr id="18" name="Freccia a destra 17">
          <a:extLst>
            <a:ext uri="{FF2B5EF4-FFF2-40B4-BE49-F238E27FC236}">
              <a16:creationId xmlns:a16="http://schemas.microsoft.com/office/drawing/2014/main" id="{374FDC14-969F-4330-BC22-A80A001DA8B5}"/>
            </a:ext>
          </a:extLst>
        </xdr:cNvPr>
        <xdr:cNvSpPr/>
      </xdr:nvSpPr>
      <xdr:spPr>
        <a:xfrm>
          <a:off x="4448175" y="2790825"/>
          <a:ext cx="438150"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4</xdr:col>
      <xdr:colOff>573646</xdr:colOff>
      <xdr:row>1</xdr:row>
      <xdr:rowOff>85158</xdr:rowOff>
    </xdr:from>
    <xdr:to>
      <xdr:col>7</xdr:col>
      <xdr:colOff>26132</xdr:colOff>
      <xdr:row>5</xdr:row>
      <xdr:rowOff>23419</xdr:rowOff>
    </xdr:to>
    <xdr:pic>
      <xdr:nvPicPr>
        <xdr:cNvPr id="37" name="Elemento grafico 36" descr="Presentazione con grafico a torta con riempimento a tinta unita">
          <a:extLst>
            <a:ext uri="{FF2B5EF4-FFF2-40B4-BE49-F238E27FC236}">
              <a16:creationId xmlns:a16="http://schemas.microsoft.com/office/drawing/2014/main" id="{E8DC8F49-2105-5687-1F2A-6AC24254B4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0178916">
          <a:off x="3135871" y="437583"/>
          <a:ext cx="1347961" cy="1347961"/>
        </a:xfrm>
        <a:prstGeom prst="rect">
          <a:avLst/>
        </a:prstGeom>
      </xdr:spPr>
    </xdr:pic>
    <xdr:clientData/>
  </xdr:twoCellAnchor>
  <xdr:twoCellAnchor editAs="oneCell">
    <xdr:from>
      <xdr:col>21</xdr:col>
      <xdr:colOff>628650</xdr:colOff>
      <xdr:row>0</xdr:row>
      <xdr:rowOff>223838</xdr:rowOff>
    </xdr:from>
    <xdr:to>
      <xdr:col>23</xdr:col>
      <xdr:colOff>323850</xdr:colOff>
      <xdr:row>4</xdr:row>
      <xdr:rowOff>71438</xdr:rowOff>
    </xdr:to>
    <xdr:pic>
      <xdr:nvPicPr>
        <xdr:cNvPr id="4" name="Elemento grafico 3" descr="Tiro a segno con riempimento a tinta unita">
          <a:extLst>
            <a:ext uri="{FF2B5EF4-FFF2-40B4-BE49-F238E27FC236}">
              <a16:creationId xmlns:a16="http://schemas.microsoft.com/office/drawing/2014/main" id="{C622F210-5E78-C029-185E-47C5C5A7ED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54075" y="223838"/>
          <a:ext cx="1257300" cy="1257300"/>
        </a:xfrm>
        <a:prstGeom prst="rect">
          <a:avLst/>
        </a:prstGeom>
      </xdr:spPr>
    </xdr:pic>
    <xdr:clientData/>
  </xdr:twoCellAnchor>
  <xdr:twoCellAnchor editAs="oneCell">
    <xdr:from>
      <xdr:col>6</xdr:col>
      <xdr:colOff>509588</xdr:colOff>
      <xdr:row>15</xdr:row>
      <xdr:rowOff>309562</xdr:rowOff>
    </xdr:from>
    <xdr:to>
      <xdr:col>7</xdr:col>
      <xdr:colOff>333377</xdr:colOff>
      <xdr:row>17</xdr:row>
      <xdr:rowOff>38101</xdr:rowOff>
    </xdr:to>
    <xdr:pic>
      <xdr:nvPicPr>
        <xdr:cNvPr id="6" name="Elemento grafico 5" descr="Badge 1 contorno">
          <a:extLst>
            <a:ext uri="{FF2B5EF4-FFF2-40B4-BE49-F238E27FC236}">
              <a16:creationId xmlns:a16="http://schemas.microsoft.com/office/drawing/2014/main" id="{BC37900A-059F-5546-FB2A-E8599B2C21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91013" y="5595937"/>
          <a:ext cx="433389" cy="433389"/>
        </a:xfrm>
        <a:prstGeom prst="rect">
          <a:avLst/>
        </a:prstGeom>
      </xdr:spPr>
    </xdr:pic>
    <xdr:clientData/>
  </xdr:twoCellAnchor>
  <xdr:twoCellAnchor editAs="oneCell">
    <xdr:from>
      <xdr:col>21</xdr:col>
      <xdr:colOff>852487</xdr:colOff>
      <xdr:row>15</xdr:row>
      <xdr:rowOff>300038</xdr:rowOff>
    </xdr:from>
    <xdr:to>
      <xdr:col>22</xdr:col>
      <xdr:colOff>357188</xdr:colOff>
      <xdr:row>17</xdr:row>
      <xdr:rowOff>52389</xdr:rowOff>
    </xdr:to>
    <xdr:pic>
      <xdr:nvPicPr>
        <xdr:cNvPr id="9" name="Elemento grafico 8" descr="Badge contorno">
          <a:extLst>
            <a:ext uri="{FF2B5EF4-FFF2-40B4-BE49-F238E27FC236}">
              <a16:creationId xmlns:a16="http://schemas.microsoft.com/office/drawing/2014/main" id="{763E481F-4D43-775E-76FB-C8C29B95699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777912" y="5586413"/>
          <a:ext cx="457201" cy="457201"/>
        </a:xfrm>
        <a:prstGeom prst="rect">
          <a:avLst/>
        </a:prstGeom>
      </xdr:spPr>
    </xdr:pic>
    <xdr:clientData/>
  </xdr:twoCellAnchor>
  <xdr:twoCellAnchor editAs="oneCell">
    <xdr:from>
      <xdr:col>27</xdr:col>
      <xdr:colOff>247650</xdr:colOff>
      <xdr:row>16</xdr:row>
      <xdr:rowOff>319088</xdr:rowOff>
    </xdr:from>
    <xdr:to>
      <xdr:col>28</xdr:col>
      <xdr:colOff>142875</xdr:colOff>
      <xdr:row>17</xdr:row>
      <xdr:rowOff>471488</xdr:rowOff>
    </xdr:to>
    <xdr:pic>
      <xdr:nvPicPr>
        <xdr:cNvPr id="12" name="Elemento grafico 11" descr="Segnalibro contorno">
          <a:extLst>
            <a:ext uri="{FF2B5EF4-FFF2-40B4-BE49-F238E27FC236}">
              <a16:creationId xmlns:a16="http://schemas.microsoft.com/office/drawing/2014/main" id="{78C99095-4A0C-4BA0-8F3E-3A81BF3356B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459325" y="5957888"/>
          <a:ext cx="504825" cy="504825"/>
        </a:xfrm>
        <a:prstGeom prst="rect">
          <a:avLst/>
        </a:prstGeom>
      </xdr:spPr>
    </xdr:pic>
    <xdr:clientData/>
  </xdr:twoCellAnchor>
  <xdr:twoCellAnchor>
    <xdr:from>
      <xdr:col>22</xdr:col>
      <xdr:colOff>399652</xdr:colOff>
      <xdr:row>17</xdr:row>
      <xdr:rowOff>3968</xdr:rowOff>
    </xdr:from>
    <xdr:to>
      <xdr:col>23</xdr:col>
      <xdr:colOff>395</xdr:colOff>
      <xdr:row>17</xdr:row>
      <xdr:rowOff>424655</xdr:rowOff>
    </xdr:to>
    <xdr:sp macro="" textlink="">
      <xdr:nvSpPr>
        <xdr:cNvPr id="20" name="Elemento grafico 10" descr="Segnalibro contorno">
          <a:extLst>
            <a:ext uri="{FF2B5EF4-FFF2-40B4-BE49-F238E27FC236}">
              <a16:creationId xmlns:a16="http://schemas.microsoft.com/office/drawing/2014/main" id="{96FF21B0-FBD9-7658-ABBF-117D4DC2D14E}"/>
            </a:ext>
          </a:extLst>
        </xdr:cNvPr>
        <xdr:cNvSpPr/>
      </xdr:nvSpPr>
      <xdr:spPr>
        <a:xfrm>
          <a:off x="14277577" y="5995193"/>
          <a:ext cx="210343" cy="420687"/>
        </a:xfrm>
        <a:custGeom>
          <a:avLst/>
          <a:gdLst>
            <a:gd name="csX0" fmla="*/ 189309 w 210343"/>
            <a:gd name="csY0" fmla="*/ 10517 h 420687"/>
            <a:gd name="csX1" fmla="*/ 199827 w 210343"/>
            <a:gd name="csY1" fmla="*/ 21034 h 420687"/>
            <a:gd name="csX2" fmla="*/ 199827 w 210343"/>
            <a:gd name="csY2" fmla="*/ 395299 h 420687"/>
            <a:gd name="csX3" fmla="*/ 112608 w 210343"/>
            <a:gd name="csY3" fmla="*/ 308080 h 420687"/>
            <a:gd name="csX4" fmla="*/ 105172 w 210343"/>
            <a:gd name="csY4" fmla="*/ 300644 h 420687"/>
            <a:gd name="csX5" fmla="*/ 97736 w 210343"/>
            <a:gd name="csY5" fmla="*/ 308080 h 420687"/>
            <a:gd name="csX6" fmla="*/ 10517 w 210343"/>
            <a:gd name="csY6" fmla="*/ 395299 h 420687"/>
            <a:gd name="csX7" fmla="*/ 10517 w 210343"/>
            <a:gd name="csY7" fmla="*/ 21034 h 420687"/>
            <a:gd name="csX8" fmla="*/ 21034 w 210343"/>
            <a:gd name="csY8" fmla="*/ 10517 h 420687"/>
            <a:gd name="csX9" fmla="*/ 189309 w 210343"/>
            <a:gd name="csY9" fmla="*/ 10517 h 420687"/>
            <a:gd name="csX10" fmla="*/ 189309 w 210343"/>
            <a:gd name="csY10" fmla="*/ 0 h 420687"/>
            <a:gd name="csX11" fmla="*/ 21034 w 210343"/>
            <a:gd name="csY11" fmla="*/ 0 h 420687"/>
            <a:gd name="csX12" fmla="*/ 0 w 210343"/>
            <a:gd name="csY12" fmla="*/ 21034 h 420687"/>
            <a:gd name="csX13" fmla="*/ 0 w 210343"/>
            <a:gd name="csY13" fmla="*/ 420688 h 420687"/>
            <a:gd name="csX14" fmla="*/ 105172 w 210343"/>
            <a:gd name="csY14" fmla="*/ 315516 h 420687"/>
            <a:gd name="csX15" fmla="*/ 210344 w 210343"/>
            <a:gd name="csY15" fmla="*/ 420688 h 420687"/>
            <a:gd name="csX16" fmla="*/ 210344 w 210343"/>
            <a:gd name="csY16" fmla="*/ 21034 h 420687"/>
            <a:gd name="csX17" fmla="*/ 189309 w 210343"/>
            <a:gd name="csY17" fmla="*/ 0 h 4206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210343" h="420687">
              <a:moveTo>
                <a:pt x="189309" y="10517"/>
              </a:moveTo>
              <a:cubicBezTo>
                <a:pt x="195118" y="10517"/>
                <a:pt x="199827" y="15226"/>
                <a:pt x="199827" y="21034"/>
              </a:cubicBezTo>
              <a:lnTo>
                <a:pt x="199827" y="395299"/>
              </a:lnTo>
              <a:lnTo>
                <a:pt x="112608" y="308080"/>
              </a:lnTo>
              <a:lnTo>
                <a:pt x="105172" y="300644"/>
              </a:lnTo>
              <a:lnTo>
                <a:pt x="97736" y="308080"/>
              </a:lnTo>
              <a:lnTo>
                <a:pt x="10517" y="395299"/>
              </a:lnTo>
              <a:lnTo>
                <a:pt x="10517" y="21034"/>
              </a:lnTo>
              <a:cubicBezTo>
                <a:pt x="10517" y="15226"/>
                <a:pt x="15226" y="10517"/>
                <a:pt x="21034" y="10517"/>
              </a:cubicBezTo>
              <a:lnTo>
                <a:pt x="189309" y="10517"/>
              </a:lnTo>
              <a:moveTo>
                <a:pt x="189309" y="0"/>
              </a:moveTo>
              <a:lnTo>
                <a:pt x="21034" y="0"/>
              </a:lnTo>
              <a:cubicBezTo>
                <a:pt x="9432" y="35"/>
                <a:pt x="35" y="9432"/>
                <a:pt x="0" y="21034"/>
              </a:cubicBezTo>
              <a:lnTo>
                <a:pt x="0" y="420688"/>
              </a:lnTo>
              <a:lnTo>
                <a:pt x="105172" y="315516"/>
              </a:lnTo>
              <a:lnTo>
                <a:pt x="210344" y="420688"/>
              </a:lnTo>
              <a:lnTo>
                <a:pt x="210344" y="21034"/>
              </a:lnTo>
              <a:cubicBezTo>
                <a:pt x="210309" y="9432"/>
                <a:pt x="200912" y="35"/>
                <a:pt x="189309" y="0"/>
              </a:cubicBezTo>
              <a:close/>
            </a:path>
          </a:pathLst>
        </a:custGeom>
        <a:solidFill>
          <a:schemeClr val="accent6">
            <a:lumMod val="50000"/>
          </a:schemeClr>
        </a:solidFill>
        <a:ln w="5259" cap="flat">
          <a:noFill/>
          <a:prstDash val="solid"/>
          <a:miter/>
        </a:ln>
      </xdr:spPr>
    </xdr:sp>
    <xdr:clientData/>
  </xdr:twoCellAnchor>
  <xdr:twoCellAnchor editAs="oneCell">
    <xdr:from>
      <xdr:col>17</xdr:col>
      <xdr:colOff>128587</xdr:colOff>
      <xdr:row>32</xdr:row>
      <xdr:rowOff>290513</xdr:rowOff>
    </xdr:from>
    <xdr:to>
      <xdr:col>17</xdr:col>
      <xdr:colOff>595312</xdr:colOff>
      <xdr:row>34</xdr:row>
      <xdr:rowOff>52388</xdr:rowOff>
    </xdr:to>
    <xdr:pic>
      <xdr:nvPicPr>
        <xdr:cNvPr id="24" name="Elemento grafico 23" descr="Badge 3 contorno">
          <a:extLst>
            <a:ext uri="{FF2B5EF4-FFF2-40B4-BE49-F238E27FC236}">
              <a16:creationId xmlns:a16="http://schemas.microsoft.com/office/drawing/2014/main" id="{4E3C2467-B983-7D84-F259-C0FF9A995C8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68012" y="14425613"/>
          <a:ext cx="466725" cy="466725"/>
        </a:xfrm>
        <a:prstGeom prst="rect">
          <a:avLst/>
        </a:prstGeom>
      </xdr:spPr>
    </xdr:pic>
    <xdr:clientData/>
  </xdr:twoCellAnchor>
  <xdr:twoCellAnchor editAs="oneCell">
    <xdr:from>
      <xdr:col>17</xdr:col>
      <xdr:colOff>319089</xdr:colOff>
      <xdr:row>50</xdr:row>
      <xdr:rowOff>300038</xdr:rowOff>
    </xdr:from>
    <xdr:to>
      <xdr:col>18</xdr:col>
      <xdr:colOff>152400</xdr:colOff>
      <xdr:row>52</xdr:row>
      <xdr:rowOff>38099</xdr:rowOff>
    </xdr:to>
    <xdr:pic>
      <xdr:nvPicPr>
        <xdr:cNvPr id="30" name="Elemento grafico 29" descr="Badge 4 contorno">
          <a:extLst>
            <a:ext uri="{FF2B5EF4-FFF2-40B4-BE49-F238E27FC236}">
              <a16:creationId xmlns:a16="http://schemas.microsoft.com/office/drawing/2014/main" id="{58B3094B-6955-FB21-3336-A2FCD57A50E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58514" y="20778788"/>
          <a:ext cx="442911" cy="442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233362</xdr:colOff>
      <xdr:row>1</xdr:row>
      <xdr:rowOff>109538</xdr:rowOff>
    </xdr:from>
    <xdr:to>
      <xdr:col>7</xdr:col>
      <xdr:colOff>228600</xdr:colOff>
      <xdr:row>1</xdr:row>
      <xdr:rowOff>447675</xdr:rowOff>
    </xdr:to>
    <xdr:sp macro="" textlink="">
      <xdr:nvSpPr>
        <xdr:cNvPr id="8" name="Freccia a destra 7">
          <a:extLst>
            <a:ext uri="{FF2B5EF4-FFF2-40B4-BE49-F238E27FC236}">
              <a16:creationId xmlns:a16="http://schemas.microsoft.com/office/drawing/2014/main" id="{4A3E2854-040C-4C30-FCBD-F4B182D7C9FD}"/>
            </a:ext>
          </a:extLst>
        </xdr:cNvPr>
        <xdr:cNvSpPr/>
      </xdr:nvSpPr>
      <xdr:spPr>
        <a:xfrm>
          <a:off x="3348037" y="604838"/>
          <a:ext cx="1824038" cy="33813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4</xdr:col>
      <xdr:colOff>233362</xdr:colOff>
      <xdr:row>2</xdr:row>
      <xdr:rowOff>128588</xdr:rowOff>
    </xdr:from>
    <xdr:to>
      <xdr:col>7</xdr:col>
      <xdr:colOff>247831</xdr:colOff>
      <xdr:row>2</xdr:row>
      <xdr:rowOff>505515</xdr:rowOff>
    </xdr:to>
    <xdr:pic>
      <xdr:nvPicPr>
        <xdr:cNvPr id="10" name="Immagine 9">
          <a:extLst>
            <a:ext uri="{FF2B5EF4-FFF2-40B4-BE49-F238E27FC236}">
              <a16:creationId xmlns:a16="http://schemas.microsoft.com/office/drawing/2014/main" id="{FEA26386-EE81-26FA-AAD0-EF22456B8AF7}"/>
            </a:ext>
          </a:extLst>
        </xdr:cNvPr>
        <xdr:cNvPicPr>
          <a:picLocks noChangeAspect="1"/>
        </xdr:cNvPicPr>
      </xdr:nvPicPr>
      <xdr:blipFill>
        <a:blip xmlns:r="http://schemas.openxmlformats.org/officeDocument/2006/relationships" r:embed="rId1"/>
        <a:stretch>
          <a:fillRect/>
        </a:stretch>
      </xdr:blipFill>
      <xdr:spPr>
        <a:xfrm>
          <a:off x="3348037" y="1233488"/>
          <a:ext cx="1841152" cy="377985"/>
        </a:xfrm>
        <a:prstGeom prst="rect">
          <a:avLst/>
        </a:prstGeom>
      </xdr:spPr>
    </xdr:pic>
    <xdr:clientData/>
  </xdr:twoCellAnchor>
  <xdr:twoCellAnchor editAs="oneCell">
    <xdr:from>
      <xdr:col>4</xdr:col>
      <xdr:colOff>242888</xdr:colOff>
      <xdr:row>3</xdr:row>
      <xdr:rowOff>119062</xdr:rowOff>
    </xdr:from>
    <xdr:to>
      <xdr:col>7</xdr:col>
      <xdr:colOff>256298</xdr:colOff>
      <xdr:row>3</xdr:row>
      <xdr:rowOff>497047</xdr:rowOff>
    </xdr:to>
    <xdr:pic>
      <xdr:nvPicPr>
        <xdr:cNvPr id="11" name="Immagine 10">
          <a:extLst>
            <a:ext uri="{FF2B5EF4-FFF2-40B4-BE49-F238E27FC236}">
              <a16:creationId xmlns:a16="http://schemas.microsoft.com/office/drawing/2014/main" id="{7A8ADEDB-4F62-D156-D0F7-16F33C1D2BC3}"/>
            </a:ext>
          </a:extLst>
        </xdr:cNvPr>
        <xdr:cNvPicPr>
          <a:picLocks noChangeAspect="1"/>
        </xdr:cNvPicPr>
      </xdr:nvPicPr>
      <xdr:blipFill>
        <a:blip xmlns:r="http://schemas.openxmlformats.org/officeDocument/2006/relationships" r:embed="rId1"/>
        <a:stretch>
          <a:fillRect/>
        </a:stretch>
      </xdr:blipFill>
      <xdr:spPr>
        <a:xfrm>
          <a:off x="3357563" y="1833562"/>
          <a:ext cx="1841152" cy="377985"/>
        </a:xfrm>
        <a:prstGeom prst="rect">
          <a:avLst/>
        </a:prstGeom>
      </xdr:spPr>
    </xdr:pic>
    <xdr:clientData/>
  </xdr:twoCellAnchor>
  <xdr:twoCellAnchor editAs="oneCell">
    <xdr:from>
      <xdr:col>4</xdr:col>
      <xdr:colOff>247650</xdr:colOff>
      <xdr:row>4</xdr:row>
      <xdr:rowOff>114300</xdr:rowOff>
    </xdr:from>
    <xdr:to>
      <xdr:col>7</xdr:col>
      <xdr:colOff>261060</xdr:colOff>
      <xdr:row>4</xdr:row>
      <xdr:rowOff>492285</xdr:rowOff>
    </xdr:to>
    <xdr:pic>
      <xdr:nvPicPr>
        <xdr:cNvPr id="12" name="Immagine 11">
          <a:extLst>
            <a:ext uri="{FF2B5EF4-FFF2-40B4-BE49-F238E27FC236}">
              <a16:creationId xmlns:a16="http://schemas.microsoft.com/office/drawing/2014/main" id="{C9FF7392-F1A3-649E-4652-2259662E4E7C}"/>
            </a:ext>
          </a:extLst>
        </xdr:cNvPr>
        <xdr:cNvPicPr>
          <a:picLocks noChangeAspect="1"/>
        </xdr:cNvPicPr>
      </xdr:nvPicPr>
      <xdr:blipFill>
        <a:blip xmlns:r="http://schemas.openxmlformats.org/officeDocument/2006/relationships" r:embed="rId1"/>
        <a:stretch>
          <a:fillRect/>
        </a:stretch>
      </xdr:blipFill>
      <xdr:spPr>
        <a:xfrm>
          <a:off x="3362325" y="2438400"/>
          <a:ext cx="1841152" cy="377985"/>
        </a:xfrm>
        <a:prstGeom prst="rect">
          <a:avLst/>
        </a:prstGeom>
      </xdr:spPr>
    </xdr:pic>
    <xdr:clientData/>
  </xdr:twoCellAnchor>
  <xdr:twoCellAnchor editAs="oneCell">
    <xdr:from>
      <xdr:col>19</xdr:col>
      <xdr:colOff>481014</xdr:colOff>
      <xdr:row>5</xdr:row>
      <xdr:rowOff>90486</xdr:rowOff>
    </xdr:from>
    <xdr:to>
      <xdr:col>20</xdr:col>
      <xdr:colOff>270406</xdr:colOff>
      <xdr:row>5</xdr:row>
      <xdr:rowOff>491594</xdr:rowOff>
    </xdr:to>
    <xdr:pic>
      <xdr:nvPicPr>
        <xdr:cNvPr id="3" name="Elemento grafico 2" descr="Bussola contorno">
          <a:extLst>
            <a:ext uri="{FF2B5EF4-FFF2-40B4-BE49-F238E27FC236}">
              <a16:creationId xmlns:a16="http://schemas.microsoft.com/office/drawing/2014/main" id="{3E7677CD-B0AC-49C1-AC11-85762A1E983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30089" y="3024186"/>
          <a:ext cx="400050" cy="400050"/>
        </a:xfrm>
        <a:prstGeom prst="rect">
          <a:avLst/>
        </a:prstGeom>
      </xdr:spPr>
    </xdr:pic>
    <xdr:clientData/>
  </xdr:twoCellAnchor>
  <xdr:twoCellAnchor editAs="oneCell">
    <xdr:from>
      <xdr:col>13</xdr:col>
      <xdr:colOff>128588</xdr:colOff>
      <xdr:row>5</xdr:row>
      <xdr:rowOff>309563</xdr:rowOff>
    </xdr:from>
    <xdr:to>
      <xdr:col>13</xdr:col>
      <xdr:colOff>505515</xdr:colOff>
      <xdr:row>7</xdr:row>
      <xdr:rowOff>19873</xdr:rowOff>
    </xdr:to>
    <xdr:pic>
      <xdr:nvPicPr>
        <xdr:cNvPr id="5" name="Immagine 4">
          <a:extLst>
            <a:ext uri="{FF2B5EF4-FFF2-40B4-BE49-F238E27FC236}">
              <a16:creationId xmlns:a16="http://schemas.microsoft.com/office/drawing/2014/main" id="{8D70392B-C939-A293-B65E-251EEC18ECAA}"/>
            </a:ext>
          </a:extLst>
        </xdr:cNvPr>
        <xdr:cNvPicPr>
          <a:picLocks noChangeAspect="1"/>
        </xdr:cNvPicPr>
      </xdr:nvPicPr>
      <xdr:blipFill>
        <a:blip xmlns:r="http://schemas.openxmlformats.org/officeDocument/2006/relationships" r:embed="rId4"/>
        <a:stretch>
          <a:fillRect/>
        </a:stretch>
      </xdr:blipFill>
      <xdr:spPr>
        <a:xfrm>
          <a:off x="8120063" y="3243263"/>
          <a:ext cx="377985" cy="451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138641</xdr:colOff>
      <xdr:row>18</xdr:row>
      <xdr:rowOff>253471</xdr:rowOff>
    </xdr:from>
    <xdr:to>
      <xdr:col>8</xdr:col>
      <xdr:colOff>463019</xdr:colOff>
      <xdr:row>19</xdr:row>
      <xdr:rowOff>322262</xdr:rowOff>
    </xdr:to>
    <xdr:sp macro="" textlink="">
      <xdr:nvSpPr>
        <xdr:cNvPr id="14" name="Freccia in giù 13">
          <a:extLst>
            <a:ext uri="{FF2B5EF4-FFF2-40B4-BE49-F238E27FC236}">
              <a16:creationId xmlns:a16="http://schemas.microsoft.com/office/drawing/2014/main" id="{97829B0E-C655-3101-6D49-B3BCE3807F7A}"/>
            </a:ext>
          </a:extLst>
        </xdr:cNvPr>
        <xdr:cNvSpPr/>
      </xdr:nvSpPr>
      <xdr:spPr>
        <a:xfrm>
          <a:off x="9265708" y="6798204"/>
          <a:ext cx="324378" cy="44979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15</xdr:col>
      <xdr:colOff>176213</xdr:colOff>
      <xdr:row>17</xdr:row>
      <xdr:rowOff>361949</xdr:rowOff>
    </xdr:from>
    <xdr:to>
      <xdr:col>15</xdr:col>
      <xdr:colOff>575205</xdr:colOff>
      <xdr:row>18</xdr:row>
      <xdr:rowOff>380999</xdr:rowOff>
    </xdr:to>
    <xdr:pic>
      <xdr:nvPicPr>
        <xdr:cNvPr id="4" name="Elemento grafico 3" descr="Bussola contorno">
          <a:extLst>
            <a:ext uri="{FF2B5EF4-FFF2-40B4-BE49-F238E27FC236}">
              <a16:creationId xmlns:a16="http://schemas.microsoft.com/office/drawing/2014/main" id="{AF0C5CFB-7258-F24C-F161-6C0C67CAB4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35113" y="6524624"/>
          <a:ext cx="40005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290513</xdr:colOff>
      <xdr:row>21</xdr:row>
      <xdr:rowOff>85724</xdr:rowOff>
    </xdr:from>
    <xdr:to>
      <xdr:col>16</xdr:col>
      <xdr:colOff>689505</xdr:colOff>
      <xdr:row>21</xdr:row>
      <xdr:rowOff>491064</xdr:rowOff>
    </xdr:to>
    <xdr:pic>
      <xdr:nvPicPr>
        <xdr:cNvPr id="2" name="Elemento grafico 1" descr="Bussola contorno">
          <a:extLst>
            <a:ext uri="{FF2B5EF4-FFF2-40B4-BE49-F238E27FC236}">
              <a16:creationId xmlns:a16="http://schemas.microsoft.com/office/drawing/2014/main" id="{3286EB4F-EC40-4AEF-859C-7251FA8220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91938" y="10953749"/>
          <a:ext cx="400050" cy="400050"/>
        </a:xfrm>
        <a:prstGeom prst="rect">
          <a:avLst/>
        </a:prstGeom>
      </xdr:spPr>
    </xdr:pic>
    <xdr:clientData/>
  </xdr:twoCellAnchor>
  <xdr:twoCellAnchor>
    <xdr:from>
      <xdr:col>10</xdr:col>
      <xdr:colOff>502442</xdr:colOff>
      <xdr:row>21</xdr:row>
      <xdr:rowOff>269081</xdr:rowOff>
    </xdr:from>
    <xdr:to>
      <xdr:col>10</xdr:col>
      <xdr:colOff>797717</xdr:colOff>
      <xdr:row>22</xdr:row>
      <xdr:rowOff>169069</xdr:rowOff>
    </xdr:to>
    <xdr:sp macro="" textlink="">
      <xdr:nvSpPr>
        <xdr:cNvPr id="3" name="Freccia a destra 2">
          <a:extLst>
            <a:ext uri="{FF2B5EF4-FFF2-40B4-BE49-F238E27FC236}">
              <a16:creationId xmlns:a16="http://schemas.microsoft.com/office/drawing/2014/main" id="{D0A95B28-F7F5-437E-AF08-0D2D7AE17B27}"/>
            </a:ext>
          </a:extLst>
        </xdr:cNvPr>
        <xdr:cNvSpPr/>
      </xdr:nvSpPr>
      <xdr:spPr>
        <a:xfrm rot="3600514">
          <a:off x="7186611" y="11225212"/>
          <a:ext cx="471488"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19</xdr:col>
      <xdr:colOff>105612</xdr:colOff>
      <xdr:row>14</xdr:row>
      <xdr:rowOff>271463</xdr:rowOff>
    </xdr:from>
    <xdr:ext cx="346826" cy="92398"/>
    <xdr:sp macro="" textlink="">
      <xdr:nvSpPr>
        <xdr:cNvPr id="2" name="CasellaDiTesto 1">
          <a:extLst>
            <a:ext uri="{FF2B5EF4-FFF2-40B4-BE49-F238E27FC236}">
              <a16:creationId xmlns:a16="http://schemas.microsoft.com/office/drawing/2014/main" id="{DE8B6E61-2824-86C0-6226-2F1C1006C1B3}"/>
            </a:ext>
          </a:extLst>
        </xdr:cNvPr>
        <xdr:cNvSpPr txBox="1"/>
      </xdr:nvSpPr>
      <xdr:spPr>
        <a:xfrm>
          <a:off x="14926512" y="6643688"/>
          <a:ext cx="346826" cy="92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eaVert" wrap="none" rtlCol="0" anchor="t">
          <a:spAutoFit/>
        </a:bodyPr>
        <a:lstStyle/>
        <a:p>
          <a:endParaRPr lang="it-IT" sz="1100"/>
        </a:p>
      </xdr:txBody>
    </xdr:sp>
    <xdr:clientData/>
  </xdr:oneCellAnchor>
  <xdr:twoCellAnchor>
    <xdr:from>
      <xdr:col>19</xdr:col>
      <xdr:colOff>123825</xdr:colOff>
      <xdr:row>13</xdr:row>
      <xdr:rowOff>366713</xdr:rowOff>
    </xdr:from>
    <xdr:to>
      <xdr:col>19</xdr:col>
      <xdr:colOff>595313</xdr:colOff>
      <xdr:row>14</xdr:row>
      <xdr:rowOff>252413</xdr:rowOff>
    </xdr:to>
    <xdr:sp macro="" textlink="">
      <xdr:nvSpPr>
        <xdr:cNvPr id="4" name="Freccia a destra 3">
          <a:extLst>
            <a:ext uri="{FF2B5EF4-FFF2-40B4-BE49-F238E27FC236}">
              <a16:creationId xmlns:a16="http://schemas.microsoft.com/office/drawing/2014/main" id="{E431F4CC-DC34-9E6F-55DC-626C8C7C8ABE}"/>
            </a:ext>
          </a:extLst>
        </xdr:cNvPr>
        <xdr:cNvSpPr/>
      </xdr:nvSpPr>
      <xdr:spPr>
        <a:xfrm>
          <a:off x="14944725" y="6329363"/>
          <a:ext cx="471488"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18</xdr:col>
      <xdr:colOff>114300</xdr:colOff>
      <xdr:row>11</xdr:row>
      <xdr:rowOff>190500</xdr:rowOff>
    </xdr:from>
    <xdr:to>
      <xdr:col>18</xdr:col>
      <xdr:colOff>529165</xdr:colOff>
      <xdr:row>12</xdr:row>
      <xdr:rowOff>186265</xdr:rowOff>
    </xdr:to>
    <xdr:pic>
      <xdr:nvPicPr>
        <xdr:cNvPr id="5" name="Elemento grafico 4" descr="Bussola contorno">
          <a:extLst>
            <a:ext uri="{FF2B5EF4-FFF2-40B4-BE49-F238E27FC236}">
              <a16:creationId xmlns:a16="http://schemas.microsoft.com/office/drawing/2014/main" id="{8BA860A7-4F8F-443C-AF4C-DEBB6B9222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00" y="5334000"/>
          <a:ext cx="400050" cy="400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343959</xdr:colOff>
      <xdr:row>19</xdr:row>
      <xdr:rowOff>4233</xdr:rowOff>
    </xdr:to>
    <xdr:graphicFrame macro="">
      <xdr:nvGraphicFramePr>
        <xdr:cNvPr id="2" name="Grafico 1">
          <a:extLst>
            <a:ext uri="{FF2B5EF4-FFF2-40B4-BE49-F238E27FC236}">
              <a16:creationId xmlns:a16="http://schemas.microsoft.com/office/drawing/2014/main" id="{BC011403-3AA3-73E6-9B93-6ECB05D3F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0</xdr:row>
      <xdr:rowOff>24341</xdr:rowOff>
    </xdr:from>
    <xdr:to>
      <xdr:col>20</xdr:col>
      <xdr:colOff>242889</xdr:colOff>
      <xdr:row>19</xdr:row>
      <xdr:rowOff>19051</xdr:rowOff>
    </xdr:to>
    <xdr:graphicFrame macro="">
      <xdr:nvGraphicFramePr>
        <xdr:cNvPr id="3" name="Grafico 2">
          <a:extLst>
            <a:ext uri="{FF2B5EF4-FFF2-40B4-BE49-F238E27FC236}">
              <a16:creationId xmlns:a16="http://schemas.microsoft.com/office/drawing/2014/main" id="{19CF9641-B6F7-22D2-C691-D1C309B69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319085</xdr:colOff>
      <xdr:row>0</xdr:row>
      <xdr:rowOff>4763</xdr:rowOff>
    </xdr:from>
    <xdr:to>
      <xdr:col>29</xdr:col>
      <xdr:colOff>257174</xdr:colOff>
      <xdr:row>18</xdr:row>
      <xdr:rowOff>185738</xdr:rowOff>
    </xdr:to>
    <xdr:graphicFrame macro="">
      <xdr:nvGraphicFramePr>
        <xdr:cNvPr id="4" name="Grafico 1">
          <a:extLst>
            <a:ext uri="{FF2B5EF4-FFF2-40B4-BE49-F238E27FC236}">
              <a16:creationId xmlns:a16="http://schemas.microsoft.com/office/drawing/2014/main" id="{B282D45A-07C6-3207-78E4-C12E970AC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428624</xdr:colOff>
      <xdr:row>19</xdr:row>
      <xdr:rowOff>85724</xdr:rowOff>
    </xdr:from>
    <xdr:to>
      <xdr:col>20</xdr:col>
      <xdr:colOff>247650</xdr:colOff>
      <xdr:row>37</xdr:row>
      <xdr:rowOff>100013</xdr:rowOff>
    </xdr:to>
    <xdr:graphicFrame macro="">
      <xdr:nvGraphicFramePr>
        <xdr:cNvPr id="5" name="Grafico 2">
          <a:extLst>
            <a:ext uri="{FF2B5EF4-FFF2-40B4-BE49-F238E27FC236}">
              <a16:creationId xmlns:a16="http://schemas.microsoft.com/office/drawing/2014/main" id="{DA542562-51F3-33DB-B657-8DB5FFAB6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19</xdr:row>
      <xdr:rowOff>76199</xdr:rowOff>
    </xdr:from>
    <xdr:to>
      <xdr:col>9</xdr:col>
      <xdr:colOff>342900</xdr:colOff>
      <xdr:row>37</xdr:row>
      <xdr:rowOff>61912</xdr:rowOff>
    </xdr:to>
    <xdr:graphicFrame macro="">
      <xdr:nvGraphicFramePr>
        <xdr:cNvPr id="6" name="Grafico 1">
          <a:extLst>
            <a:ext uri="{FF2B5EF4-FFF2-40B4-BE49-F238E27FC236}">
              <a16:creationId xmlns:a16="http://schemas.microsoft.com/office/drawing/2014/main" id="{72CF13AB-26EB-F3C1-DC31-FCB2DA017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2DEC8-5147-48C6-B2B8-D00983C340E0}" name="Tabella1" displayName="Tabella1" ref="B4:G27" totalsRowShown="0" headerRowDxfId="23" dataDxfId="21" headerRowBorderDxfId="22" tableBorderDxfId="20">
  <autoFilter ref="B4:G27" xr:uid="{1F12DEC8-5147-48C6-B2B8-D00983C340E0}"/>
  <tableColumns count="6">
    <tableColumn id="1" xr3:uid="{34FF6F31-4619-4A5D-8F15-62500E99882B}" name="Description" dataDxfId="19"/>
    <tableColumn id="2" xr3:uid="{B0C1A2AD-ECED-4B58-B9A9-DCDC3282130A}" name="Caused by &amp; Consequences" dataDxfId="18"/>
    <tableColumn id="3" xr3:uid="{38F7C89F-9E6B-4B7B-9025-18C593EDD42A}" name="Probability or Feasibility" dataDxfId="17"/>
    <tableColumn id="4" xr3:uid="{F4F84ED9-75B9-466F-BFBB-C680C56491B0}" name="Impact" dataDxfId="16"/>
    <tableColumn id="5" xr3:uid="{2B52E9C2-481C-47BC-A9F8-8C422A5C4DEB}" name="Rating" dataDxfId="15">
      <calculatedColumnFormula>IFERROR(INDEX(K$5:O$9,MATCH(D5,J$5:J$9,0),MATCH(E5,K$4:O$4,0)),"")</calculatedColumnFormula>
    </tableColumn>
    <tableColumn id="6" xr3:uid="{53CD7A91-DC21-43B4-83F1-B1B0DCE4BBA9}" name="How i can solve?" dataDxfId="14"/>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esi di laurea">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 dockstate="right" visibility="0" width="350" row="11">
    <wetp:webextensionref xmlns:r="http://schemas.openxmlformats.org/officeDocument/2006/relationships" r:id="rId2"/>
  </wetp:taskpane>
  <wetp:taskpane dockstate="right" visibility="0" width="700" row="1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A36F27E-E941-4EAE-91F7-498637EB2BC3}">
  <we:reference id="wa200005271" version="2.5.5.0" store="it-IT"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6F92C366-7202-43D5-966C-B83F2143FA2F}">
  <we:reference id="wa200005502" version="1.0.0.11" store="it-IT" storeType="OMEX"/>
  <we:alternateReferences>
    <we:reference id="WA200005502" version="1.0.0.11" store="" storeType="OMEX"/>
  </we:alternateReferences>
  <we:properties>
    <we:property name="docId" value="&quot;4kn6fPlmSn66cG4E50BI-&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9C9626EC-1F66-4C71-82D9-80C33CFF7B8E}">
  <we:reference id="wa200009404" version="1.0.0.8" store="it-IT"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78C6-B367-4B5F-A85F-60781ECCCF0B}">
  <sheetPr codeName="Foglio6">
    <tabColor theme="4" tint="-0.249977111117893"/>
  </sheetPr>
  <dimension ref="A1:AC119"/>
  <sheetViews>
    <sheetView showGridLines="0" workbookViewId="0">
      <selection activeCell="B7" sqref="B7:AA15"/>
    </sheetView>
  </sheetViews>
  <sheetFormatPr defaultRowHeight="27.75" customHeight="1" x14ac:dyDescent="0.25"/>
  <cols>
    <col min="1" max="1" width="11" customWidth="1"/>
    <col min="4" max="4" width="9.85546875" customWidth="1"/>
    <col min="5" max="5" width="9.7109375" customWidth="1"/>
    <col min="6" max="6" width="9.5703125" customWidth="1"/>
    <col min="8" max="8" width="9.7109375" customWidth="1"/>
    <col min="22" max="22" width="14.28515625" customWidth="1"/>
    <col min="25" max="25" width="13.42578125" customWidth="1"/>
  </cols>
  <sheetData>
    <row r="1" spans="1:29" ht="27.75" customHeight="1" thickTop="1" x14ac:dyDescent="0.25">
      <c r="A1" s="167"/>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56"/>
    </row>
    <row r="2" spans="1:29" ht="27.75" customHeight="1" x14ac:dyDescent="0.25">
      <c r="A2" s="167"/>
      <c r="B2" s="233" t="s">
        <v>136</v>
      </c>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167"/>
      <c r="AC2" s="154"/>
    </row>
    <row r="3" spans="1:29" ht="27.75" customHeight="1" x14ac:dyDescent="0.25">
      <c r="A3" s="167"/>
      <c r="B3" s="233"/>
      <c r="C3" s="233"/>
      <c r="D3" s="233"/>
      <c r="E3" s="233"/>
      <c r="F3" s="233"/>
      <c r="G3" s="233"/>
      <c r="H3" s="233"/>
      <c r="I3" s="233"/>
      <c r="J3" s="233"/>
      <c r="K3" s="233"/>
      <c r="L3" s="233"/>
      <c r="M3" s="233"/>
      <c r="N3" s="233"/>
      <c r="O3" s="233"/>
      <c r="P3" s="233"/>
      <c r="Q3" s="233"/>
      <c r="R3" s="233"/>
      <c r="S3" s="233"/>
      <c r="T3" s="233"/>
      <c r="U3" s="233"/>
      <c r="V3" s="233"/>
      <c r="W3" s="233"/>
      <c r="X3" s="233"/>
      <c r="Y3" s="233"/>
      <c r="Z3" s="233"/>
      <c r="AA3" s="233"/>
      <c r="AB3" s="167"/>
      <c r="AC3" s="155"/>
    </row>
    <row r="4" spans="1:29" ht="27.75" customHeight="1" x14ac:dyDescent="0.25">
      <c r="A4" s="167"/>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167"/>
      <c r="AC4" s="155"/>
    </row>
    <row r="5" spans="1:29" ht="27.75" customHeight="1" x14ac:dyDescent="0.25">
      <c r="A5" s="167"/>
      <c r="B5" s="233"/>
      <c r="C5" s="233"/>
      <c r="D5" s="233"/>
      <c r="E5" s="233"/>
      <c r="F5" s="233"/>
      <c r="G5" s="233"/>
      <c r="H5" s="233"/>
      <c r="I5" s="233"/>
      <c r="J5" s="233"/>
      <c r="K5" s="233"/>
      <c r="L5" s="233"/>
      <c r="M5" s="233"/>
      <c r="N5" s="233"/>
      <c r="O5" s="233"/>
      <c r="P5" s="233"/>
      <c r="Q5" s="233"/>
      <c r="R5" s="233"/>
      <c r="S5" s="233"/>
      <c r="T5" s="233"/>
      <c r="U5" s="233"/>
      <c r="V5" s="233"/>
      <c r="W5" s="233"/>
      <c r="X5" s="233"/>
      <c r="Y5" s="233"/>
      <c r="Z5" s="233"/>
      <c r="AA5" s="233"/>
      <c r="AB5" s="167"/>
      <c r="AC5" s="155"/>
    </row>
    <row r="6" spans="1:29" ht="27.75" customHeight="1" x14ac:dyDescent="0.25">
      <c r="A6" s="167"/>
      <c r="B6" s="167"/>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55"/>
    </row>
    <row r="7" spans="1:29" ht="27.75" customHeight="1" x14ac:dyDescent="0.25">
      <c r="A7" s="167"/>
      <c r="B7" s="234" t="s">
        <v>137</v>
      </c>
      <c r="C7" s="234"/>
      <c r="D7" s="234"/>
      <c r="E7" s="234"/>
      <c r="F7" s="234"/>
      <c r="G7" s="234"/>
      <c r="H7" s="234"/>
      <c r="I7" s="234"/>
      <c r="J7" s="234"/>
      <c r="K7" s="234"/>
      <c r="L7" s="234"/>
      <c r="M7" s="234"/>
      <c r="N7" s="234"/>
      <c r="O7" s="234"/>
      <c r="P7" s="234"/>
      <c r="Q7" s="234"/>
      <c r="R7" s="234"/>
      <c r="S7" s="234"/>
      <c r="T7" s="234"/>
      <c r="U7" s="234"/>
      <c r="V7" s="234"/>
      <c r="W7" s="234"/>
      <c r="X7" s="234"/>
      <c r="Y7" s="234"/>
      <c r="Z7" s="234"/>
      <c r="AA7" s="234"/>
      <c r="AB7" s="167"/>
      <c r="AC7" s="155"/>
    </row>
    <row r="8" spans="1:29" ht="27.75" customHeight="1" x14ac:dyDescent="0.25">
      <c r="A8" s="167"/>
      <c r="B8" s="234"/>
      <c r="C8" s="234"/>
      <c r="D8" s="234"/>
      <c r="E8" s="234"/>
      <c r="F8" s="234"/>
      <c r="G8" s="234"/>
      <c r="H8" s="234"/>
      <c r="I8" s="234"/>
      <c r="J8" s="234"/>
      <c r="K8" s="234"/>
      <c r="L8" s="234"/>
      <c r="M8" s="234"/>
      <c r="N8" s="234"/>
      <c r="O8" s="234"/>
      <c r="P8" s="234"/>
      <c r="Q8" s="234"/>
      <c r="R8" s="234"/>
      <c r="S8" s="234"/>
      <c r="T8" s="234"/>
      <c r="U8" s="234"/>
      <c r="V8" s="234"/>
      <c r="W8" s="234"/>
      <c r="X8" s="234"/>
      <c r="Y8" s="234"/>
      <c r="Z8" s="234"/>
      <c r="AA8" s="234"/>
      <c r="AB8" s="167"/>
      <c r="AC8" s="155"/>
    </row>
    <row r="9" spans="1:29" ht="27.75" customHeight="1" x14ac:dyDescent="0.25">
      <c r="A9" s="167"/>
      <c r="B9" s="234"/>
      <c r="C9" s="234"/>
      <c r="D9" s="234"/>
      <c r="E9" s="234"/>
      <c r="F9" s="234"/>
      <c r="G9" s="234"/>
      <c r="H9" s="234"/>
      <c r="I9" s="234"/>
      <c r="J9" s="234"/>
      <c r="K9" s="234"/>
      <c r="L9" s="234"/>
      <c r="M9" s="234"/>
      <c r="N9" s="234"/>
      <c r="O9" s="234"/>
      <c r="P9" s="234"/>
      <c r="Q9" s="234"/>
      <c r="R9" s="234"/>
      <c r="S9" s="234"/>
      <c r="T9" s="234"/>
      <c r="U9" s="234"/>
      <c r="V9" s="234"/>
      <c r="W9" s="234"/>
      <c r="X9" s="234"/>
      <c r="Y9" s="234"/>
      <c r="Z9" s="234"/>
      <c r="AA9" s="234"/>
      <c r="AB9" s="167"/>
      <c r="AC9" s="155"/>
    </row>
    <row r="10" spans="1:29" ht="27.75" customHeight="1" x14ac:dyDescent="0.25">
      <c r="A10" s="167"/>
      <c r="B10" s="234"/>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167"/>
      <c r="AC10" s="155"/>
    </row>
    <row r="11" spans="1:29" ht="27.75" customHeight="1" x14ac:dyDescent="0.25">
      <c r="A11" s="167"/>
      <c r="B11" s="234"/>
      <c r="C11" s="234"/>
      <c r="D11" s="234"/>
      <c r="E11" s="234"/>
      <c r="F11" s="234"/>
      <c r="G11" s="234"/>
      <c r="H11" s="234"/>
      <c r="I11" s="234"/>
      <c r="J11" s="234"/>
      <c r="K11" s="234"/>
      <c r="L11" s="234"/>
      <c r="M11" s="234"/>
      <c r="N11" s="234"/>
      <c r="O11" s="234"/>
      <c r="P11" s="234"/>
      <c r="Q11" s="234"/>
      <c r="R11" s="234"/>
      <c r="S11" s="234"/>
      <c r="T11" s="234"/>
      <c r="U11" s="234"/>
      <c r="V11" s="234"/>
      <c r="W11" s="234"/>
      <c r="X11" s="234"/>
      <c r="Y11" s="234"/>
      <c r="Z11" s="234"/>
      <c r="AA11" s="234"/>
      <c r="AB11" s="167"/>
      <c r="AC11" s="155"/>
    </row>
    <row r="12" spans="1:29" ht="27.75" customHeight="1" x14ac:dyDescent="0.25">
      <c r="A12" s="167"/>
      <c r="B12" s="234"/>
      <c r="C12" s="234"/>
      <c r="D12" s="234"/>
      <c r="E12" s="234"/>
      <c r="F12" s="234"/>
      <c r="G12" s="234"/>
      <c r="H12" s="234"/>
      <c r="I12" s="234"/>
      <c r="J12" s="234"/>
      <c r="K12" s="234"/>
      <c r="L12" s="234"/>
      <c r="M12" s="234"/>
      <c r="N12" s="234"/>
      <c r="O12" s="234"/>
      <c r="P12" s="234"/>
      <c r="Q12" s="234"/>
      <c r="R12" s="234"/>
      <c r="S12" s="234"/>
      <c r="T12" s="234"/>
      <c r="U12" s="234"/>
      <c r="V12" s="234"/>
      <c r="W12" s="234"/>
      <c r="X12" s="234"/>
      <c r="Y12" s="234"/>
      <c r="Z12" s="234"/>
      <c r="AA12" s="234"/>
      <c r="AB12" s="167"/>
      <c r="AC12" s="155"/>
    </row>
    <row r="13" spans="1:29" ht="27.75" customHeight="1" x14ac:dyDescent="0.25">
      <c r="A13" s="167"/>
      <c r="B13" s="234"/>
      <c r="C13" s="234"/>
      <c r="D13" s="234"/>
      <c r="E13" s="234"/>
      <c r="F13" s="234"/>
      <c r="G13" s="234"/>
      <c r="H13" s="234"/>
      <c r="I13" s="234"/>
      <c r="J13" s="234"/>
      <c r="K13" s="234"/>
      <c r="L13" s="234"/>
      <c r="M13" s="234"/>
      <c r="N13" s="234"/>
      <c r="O13" s="234"/>
      <c r="P13" s="234"/>
      <c r="Q13" s="234"/>
      <c r="R13" s="234"/>
      <c r="S13" s="234"/>
      <c r="T13" s="234"/>
      <c r="U13" s="234"/>
      <c r="V13" s="234"/>
      <c r="W13" s="234"/>
      <c r="X13" s="234"/>
      <c r="Y13" s="234"/>
      <c r="Z13" s="234"/>
      <c r="AA13" s="234"/>
      <c r="AB13" s="167"/>
      <c r="AC13" s="155"/>
    </row>
    <row r="14" spans="1:29" ht="27.75" customHeight="1" x14ac:dyDescent="0.25">
      <c r="A14" s="167"/>
      <c r="B14" s="234"/>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167"/>
      <c r="AC14" s="155"/>
    </row>
    <row r="15" spans="1:29" ht="27.75" customHeight="1" x14ac:dyDescent="0.25">
      <c r="A15" s="167"/>
      <c r="B15" s="234"/>
      <c r="C15" s="234"/>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167"/>
      <c r="AC15" s="155"/>
    </row>
    <row r="16" spans="1:29" ht="27.75" customHeight="1" thickTop="1" x14ac:dyDescent="0.25">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row>
    <row r="17" spans="1:29" ht="27.75" customHeight="1" thickBot="1" x14ac:dyDescent="0.3">
      <c r="A17" s="237" t="s">
        <v>138</v>
      </c>
      <c r="B17" s="235"/>
      <c r="C17" s="235"/>
      <c r="D17" s="235"/>
      <c r="E17" s="235"/>
      <c r="F17" s="235"/>
      <c r="G17" s="235"/>
      <c r="H17" s="235"/>
      <c r="I17" s="235"/>
      <c r="J17" s="236"/>
      <c r="K17" s="235" t="s">
        <v>139</v>
      </c>
      <c r="L17" s="235"/>
      <c r="M17" s="235"/>
      <c r="N17" s="235"/>
      <c r="O17" s="235"/>
      <c r="P17" s="235"/>
      <c r="Q17" s="235"/>
      <c r="R17" s="235"/>
      <c r="S17" s="235"/>
      <c r="T17" s="235"/>
      <c r="U17" s="235"/>
      <c r="V17" s="235"/>
      <c r="W17" s="235"/>
      <c r="X17" s="235"/>
      <c r="Y17" s="235"/>
      <c r="Z17" s="235"/>
      <c r="AA17" s="235"/>
      <c r="AB17" s="235"/>
      <c r="AC17" s="236"/>
    </row>
    <row r="18" spans="1:29" ht="42.75" customHeight="1" thickBot="1" x14ac:dyDescent="0.3">
      <c r="A18" s="157" t="s">
        <v>155</v>
      </c>
      <c r="B18" s="220" t="s">
        <v>140</v>
      </c>
      <c r="C18" s="221"/>
      <c r="D18" s="221"/>
      <c r="E18" s="221"/>
      <c r="F18" s="221"/>
      <c r="G18" s="221"/>
      <c r="H18" s="221"/>
      <c r="I18" s="221"/>
      <c r="J18" s="222"/>
      <c r="K18" s="166" t="s">
        <v>177</v>
      </c>
      <c r="L18" s="166" t="s">
        <v>178</v>
      </c>
      <c r="M18" s="238"/>
      <c r="N18" s="238"/>
      <c r="O18" s="238"/>
      <c r="P18" s="238"/>
      <c r="Q18" s="238"/>
      <c r="R18" s="159"/>
      <c r="S18" s="216" t="s">
        <v>173</v>
      </c>
      <c r="T18" s="217"/>
      <c r="U18" s="217"/>
      <c r="V18" s="217"/>
      <c r="W18" s="218"/>
      <c r="X18" s="216" t="s">
        <v>184</v>
      </c>
      <c r="Y18" s="217"/>
      <c r="Z18" s="217"/>
      <c r="AA18" s="217"/>
      <c r="AB18" s="218"/>
    </row>
    <row r="19" spans="1:29" ht="42.75" customHeight="1" thickBot="1" x14ac:dyDescent="0.3">
      <c r="A19" s="157" t="s">
        <v>156</v>
      </c>
      <c r="B19" s="220" t="s">
        <v>141</v>
      </c>
      <c r="C19" s="221"/>
      <c r="D19" s="221"/>
      <c r="E19" s="221"/>
      <c r="F19" s="221"/>
      <c r="G19" s="221"/>
      <c r="H19" s="221"/>
      <c r="I19" s="221"/>
      <c r="J19" s="222"/>
      <c r="K19" s="57">
        <v>56</v>
      </c>
      <c r="L19" s="119" t="s">
        <v>100</v>
      </c>
      <c r="M19" s="5">
        <v>1</v>
      </c>
      <c r="N19" s="5">
        <v>2</v>
      </c>
      <c r="O19" s="5">
        <v>3</v>
      </c>
      <c r="P19" s="5">
        <v>4</v>
      </c>
      <c r="Q19" s="6">
        <v>5</v>
      </c>
      <c r="R19" s="159"/>
      <c r="S19" s="219" t="s">
        <v>174</v>
      </c>
      <c r="T19" s="219"/>
      <c r="U19" s="219"/>
      <c r="V19" s="219"/>
      <c r="W19" s="219"/>
      <c r="X19" s="219" t="s">
        <v>182</v>
      </c>
      <c r="Y19" s="219"/>
      <c r="Z19" s="219"/>
      <c r="AA19" s="219"/>
      <c r="AB19" s="219"/>
    </row>
    <row r="20" spans="1:29" ht="42.75" customHeight="1" thickBot="1" x14ac:dyDescent="0.3">
      <c r="A20" s="157" t="s">
        <v>157</v>
      </c>
      <c r="B20" s="220" t="s">
        <v>142</v>
      </c>
      <c r="C20" s="221"/>
      <c r="D20" s="221"/>
      <c r="E20" s="221"/>
      <c r="F20" s="221"/>
      <c r="G20" s="221"/>
      <c r="H20" s="221"/>
      <c r="I20" s="221"/>
      <c r="J20" s="222"/>
      <c r="K20" s="58">
        <v>4</v>
      </c>
      <c r="L20" s="120" t="s">
        <v>0</v>
      </c>
      <c r="M20" s="5">
        <v>1</v>
      </c>
      <c r="N20" s="5">
        <v>2</v>
      </c>
      <c r="O20" s="5">
        <v>3</v>
      </c>
      <c r="P20" s="5">
        <v>4</v>
      </c>
      <c r="Q20" s="6">
        <v>5</v>
      </c>
      <c r="R20" s="159"/>
      <c r="S20" s="219" t="s">
        <v>175</v>
      </c>
      <c r="T20" s="219"/>
      <c r="U20" s="219"/>
      <c r="V20" s="219"/>
      <c r="W20" s="219"/>
      <c r="X20" s="219" t="s">
        <v>183</v>
      </c>
      <c r="Y20" s="219"/>
      <c r="Z20" s="219"/>
      <c r="AA20" s="219"/>
      <c r="AB20" s="219"/>
    </row>
    <row r="21" spans="1:29" ht="42.75" customHeight="1" thickBot="1" x14ac:dyDescent="0.3">
      <c r="A21" s="158" t="s">
        <v>158</v>
      </c>
      <c r="B21" s="220" t="s">
        <v>143</v>
      </c>
      <c r="C21" s="221"/>
      <c r="D21" s="221"/>
      <c r="E21" s="221"/>
      <c r="F21" s="221"/>
      <c r="G21" s="221"/>
      <c r="H21" s="221"/>
      <c r="I21" s="221"/>
      <c r="J21" s="222"/>
      <c r="K21" s="57">
        <v>20</v>
      </c>
      <c r="L21" s="121" t="s">
        <v>101</v>
      </c>
      <c r="M21" s="5">
        <v>1</v>
      </c>
      <c r="N21" s="5">
        <v>2</v>
      </c>
      <c r="O21" s="5">
        <v>3</v>
      </c>
      <c r="P21" s="5">
        <v>4</v>
      </c>
      <c r="Q21" s="6">
        <v>5</v>
      </c>
      <c r="R21" s="159"/>
      <c r="S21" s="219" t="s">
        <v>176</v>
      </c>
      <c r="T21" s="219"/>
      <c r="U21" s="219"/>
      <c r="V21" s="219"/>
      <c r="W21" s="219"/>
      <c r="X21" s="219" t="s">
        <v>185</v>
      </c>
      <c r="Y21" s="219"/>
      <c r="Z21" s="219"/>
      <c r="AA21" s="219"/>
      <c r="AB21" s="219"/>
    </row>
    <row r="22" spans="1:29" ht="42.75" customHeight="1" thickBot="1" x14ac:dyDescent="0.3">
      <c r="A22" s="158" t="s">
        <v>159</v>
      </c>
      <c r="B22" s="220" t="s">
        <v>144</v>
      </c>
      <c r="C22" s="221"/>
      <c r="D22" s="221"/>
      <c r="E22" s="221"/>
      <c r="F22" s="221"/>
      <c r="G22" s="221"/>
      <c r="H22" s="221"/>
      <c r="I22" s="221"/>
      <c r="J22" s="222"/>
      <c r="K22" s="57">
        <v>30</v>
      </c>
      <c r="L22" s="122" t="s">
        <v>102</v>
      </c>
      <c r="M22" s="5">
        <v>1</v>
      </c>
      <c r="N22" s="5">
        <v>2</v>
      </c>
      <c r="O22" s="5">
        <v>3</v>
      </c>
      <c r="P22" s="5">
        <v>4</v>
      </c>
      <c r="Q22" s="6">
        <v>5</v>
      </c>
      <c r="R22" s="159"/>
      <c r="S22" s="219" t="s">
        <v>179</v>
      </c>
      <c r="T22" s="219"/>
      <c r="U22" s="219"/>
      <c r="V22" s="219"/>
      <c r="W22" s="219"/>
      <c r="X22" s="219" t="s">
        <v>186</v>
      </c>
      <c r="Y22" s="219"/>
      <c r="Z22" s="219"/>
      <c r="AA22" s="219"/>
      <c r="AB22" s="219"/>
    </row>
    <row r="23" spans="1:29" ht="42.75" customHeight="1" thickBot="1" x14ac:dyDescent="0.3">
      <c r="A23" s="158" t="s">
        <v>160</v>
      </c>
      <c r="B23" s="220" t="s">
        <v>145</v>
      </c>
      <c r="C23" s="221"/>
      <c r="D23" s="221"/>
      <c r="E23" s="221"/>
      <c r="F23" s="221"/>
      <c r="G23" s="221"/>
      <c r="H23" s="221"/>
      <c r="I23" s="221"/>
      <c r="J23" s="222"/>
      <c r="K23" s="57">
        <v>15</v>
      </c>
      <c r="L23" s="123" t="s">
        <v>103</v>
      </c>
      <c r="M23" s="5">
        <v>1</v>
      </c>
      <c r="N23" s="5">
        <v>2</v>
      </c>
      <c r="O23" s="5">
        <v>3</v>
      </c>
      <c r="P23" s="5">
        <v>4</v>
      </c>
      <c r="Q23" s="6">
        <v>5</v>
      </c>
      <c r="R23" s="159"/>
      <c r="S23" s="219" t="s">
        <v>180</v>
      </c>
      <c r="T23" s="219"/>
      <c r="U23" s="219"/>
      <c r="V23" s="219"/>
      <c r="W23" s="219"/>
      <c r="X23" s="219" t="s">
        <v>187</v>
      </c>
      <c r="Y23" s="219"/>
      <c r="Z23" s="219"/>
      <c r="AA23" s="219"/>
      <c r="AB23" s="219"/>
    </row>
    <row r="24" spans="1:29" ht="42.75" customHeight="1" thickBot="1" x14ac:dyDescent="0.3">
      <c r="A24" s="59" t="s">
        <v>161</v>
      </c>
      <c r="B24" s="220" t="s">
        <v>146</v>
      </c>
      <c r="C24" s="221"/>
      <c r="D24" s="221"/>
      <c r="E24" s="221"/>
      <c r="F24" s="221"/>
      <c r="G24" s="221"/>
      <c r="H24" s="221"/>
      <c r="I24" s="221"/>
      <c r="J24" s="222"/>
      <c r="K24" s="58">
        <v>43</v>
      </c>
      <c r="L24" s="124" t="s">
        <v>104</v>
      </c>
      <c r="M24" s="5">
        <v>1</v>
      </c>
      <c r="N24" s="5">
        <v>2</v>
      </c>
      <c r="O24" s="5">
        <v>3</v>
      </c>
      <c r="P24" s="5">
        <v>4</v>
      </c>
      <c r="Q24" s="6">
        <v>5</v>
      </c>
      <c r="R24" s="159"/>
      <c r="S24" s="223" t="s">
        <v>181</v>
      </c>
      <c r="T24" s="223"/>
      <c r="U24" s="223"/>
      <c r="V24" s="223"/>
      <c r="W24" s="223"/>
      <c r="X24" s="223" t="s">
        <v>188</v>
      </c>
      <c r="Y24" s="223"/>
      <c r="Z24" s="223"/>
      <c r="AA24" s="223"/>
      <c r="AB24" s="223"/>
    </row>
    <row r="25" spans="1:29" ht="42.75" customHeight="1" thickBot="1" x14ac:dyDescent="0.3">
      <c r="A25" s="59" t="s">
        <v>162</v>
      </c>
      <c r="B25" s="220" t="s">
        <v>147</v>
      </c>
      <c r="C25" s="221"/>
      <c r="D25" s="221"/>
      <c r="E25" s="221"/>
      <c r="F25" s="221"/>
      <c r="G25" s="221"/>
      <c r="H25" s="221"/>
      <c r="I25" s="221"/>
      <c r="J25" s="222"/>
      <c r="K25" s="224" t="s">
        <v>189</v>
      </c>
      <c r="L25" s="225"/>
      <c r="M25" s="225"/>
      <c r="N25" s="225"/>
      <c r="O25" s="225"/>
      <c r="P25" s="225"/>
      <c r="Q25" s="225"/>
      <c r="R25" s="225"/>
      <c r="S25" s="225"/>
      <c r="T25" s="225"/>
      <c r="U25" s="225"/>
      <c r="V25" s="225"/>
      <c r="W25" s="225"/>
      <c r="X25" s="225"/>
      <c r="Y25" s="225"/>
      <c r="Z25" s="225"/>
      <c r="AA25" s="225"/>
      <c r="AB25" s="226"/>
    </row>
    <row r="26" spans="1:29" ht="42.75" customHeight="1" thickBot="1" x14ac:dyDescent="0.3">
      <c r="A26" s="59" t="s">
        <v>163</v>
      </c>
      <c r="B26" s="220" t="s">
        <v>148</v>
      </c>
      <c r="C26" s="221"/>
      <c r="D26" s="221"/>
      <c r="E26" s="221"/>
      <c r="F26" s="221"/>
      <c r="G26" s="221"/>
      <c r="H26" s="221"/>
      <c r="I26" s="221"/>
      <c r="J26" s="222"/>
      <c r="K26" s="227"/>
      <c r="L26" s="228"/>
      <c r="M26" s="228"/>
      <c r="N26" s="228"/>
      <c r="O26" s="228"/>
      <c r="P26" s="228"/>
      <c r="Q26" s="228"/>
      <c r="R26" s="228"/>
      <c r="S26" s="228"/>
      <c r="T26" s="228"/>
      <c r="U26" s="228"/>
      <c r="V26" s="228"/>
      <c r="W26" s="228"/>
      <c r="X26" s="228"/>
      <c r="Y26" s="228"/>
      <c r="Z26" s="228"/>
      <c r="AA26" s="228"/>
      <c r="AB26" s="229"/>
    </row>
    <row r="27" spans="1:29" ht="42.75" customHeight="1" thickBot="1" x14ac:dyDescent="0.3">
      <c r="A27" s="67" t="s">
        <v>164</v>
      </c>
      <c r="B27" s="220" t="s">
        <v>149</v>
      </c>
      <c r="C27" s="221"/>
      <c r="D27" s="221"/>
      <c r="E27" s="221"/>
      <c r="F27" s="221"/>
      <c r="G27" s="221"/>
      <c r="H27" s="221"/>
      <c r="I27" s="221"/>
      <c r="J27" s="222"/>
      <c r="K27" s="227"/>
      <c r="L27" s="228"/>
      <c r="M27" s="228"/>
      <c r="N27" s="228"/>
      <c r="O27" s="228"/>
      <c r="P27" s="228"/>
      <c r="Q27" s="228"/>
      <c r="R27" s="228"/>
      <c r="S27" s="228"/>
      <c r="T27" s="228"/>
      <c r="U27" s="228"/>
      <c r="V27" s="228"/>
      <c r="W27" s="228"/>
      <c r="X27" s="228"/>
      <c r="Y27" s="228"/>
      <c r="Z27" s="228"/>
      <c r="AA27" s="228"/>
      <c r="AB27" s="229"/>
    </row>
    <row r="28" spans="1:29" ht="42.75" customHeight="1" thickBot="1" x14ac:dyDescent="0.3">
      <c r="A28" s="67" t="s">
        <v>165</v>
      </c>
      <c r="B28" s="220" t="s">
        <v>150</v>
      </c>
      <c r="C28" s="221"/>
      <c r="D28" s="221"/>
      <c r="E28" s="221"/>
      <c r="F28" s="221"/>
      <c r="G28" s="221"/>
      <c r="H28" s="221"/>
      <c r="I28" s="221"/>
      <c r="J28" s="222"/>
      <c r="K28" s="230"/>
      <c r="L28" s="231"/>
      <c r="M28" s="231"/>
      <c r="N28" s="231"/>
      <c r="O28" s="231"/>
      <c r="P28" s="231"/>
      <c r="Q28" s="231"/>
      <c r="R28" s="231"/>
      <c r="S28" s="231"/>
      <c r="T28" s="231"/>
      <c r="U28" s="231"/>
      <c r="V28" s="231"/>
      <c r="W28" s="231"/>
      <c r="X28" s="231"/>
      <c r="Y28" s="231"/>
      <c r="Z28" s="231"/>
      <c r="AA28" s="231"/>
      <c r="AB28" s="232"/>
    </row>
    <row r="29" spans="1:29" ht="42.75" customHeight="1" thickBot="1" x14ac:dyDescent="0.3">
      <c r="A29" s="67" t="s">
        <v>166</v>
      </c>
      <c r="B29" s="220" t="s">
        <v>151</v>
      </c>
      <c r="C29" s="221"/>
      <c r="D29" s="221"/>
      <c r="E29" s="221"/>
      <c r="F29" s="221"/>
      <c r="G29" s="221"/>
      <c r="H29" s="221"/>
      <c r="I29" s="221"/>
      <c r="J29" s="222"/>
      <c r="K29" s="239" t="s">
        <v>190</v>
      </c>
      <c r="L29" s="240"/>
      <c r="M29" s="240"/>
      <c r="N29" s="240"/>
      <c r="O29" s="240"/>
      <c r="P29" s="240"/>
      <c r="Q29" s="240"/>
      <c r="R29" s="240"/>
      <c r="S29" s="240"/>
      <c r="T29" s="240"/>
      <c r="U29" s="240"/>
      <c r="V29" s="240"/>
      <c r="W29" s="240"/>
      <c r="X29" s="240"/>
      <c r="Y29" s="240"/>
      <c r="Z29" s="240"/>
      <c r="AA29" s="240"/>
      <c r="AB29" s="241"/>
    </row>
    <row r="30" spans="1:29" ht="42.75" customHeight="1" thickBot="1" x14ac:dyDescent="0.3">
      <c r="A30" s="66" t="s">
        <v>167</v>
      </c>
      <c r="B30" s="220" t="s">
        <v>152</v>
      </c>
      <c r="C30" s="221"/>
      <c r="D30" s="221"/>
      <c r="E30" s="221"/>
      <c r="F30" s="221"/>
      <c r="G30" s="221"/>
      <c r="H30" s="221"/>
      <c r="I30" s="221"/>
      <c r="J30" s="222"/>
      <c r="K30" s="227"/>
      <c r="L30" s="228"/>
      <c r="M30" s="228"/>
      <c r="N30" s="228"/>
      <c r="O30" s="228"/>
      <c r="P30" s="228"/>
      <c r="Q30" s="228"/>
      <c r="R30" s="228"/>
      <c r="S30" s="228"/>
      <c r="T30" s="228"/>
      <c r="U30" s="228"/>
      <c r="V30" s="228"/>
      <c r="W30" s="228"/>
      <c r="X30" s="228"/>
      <c r="Y30" s="228"/>
      <c r="Z30" s="228"/>
      <c r="AA30" s="228"/>
      <c r="AB30" s="229"/>
    </row>
    <row r="31" spans="1:29" ht="42.75" customHeight="1" thickBot="1" x14ac:dyDescent="0.3">
      <c r="A31" s="66" t="s">
        <v>168</v>
      </c>
      <c r="B31" s="220" t="s">
        <v>153</v>
      </c>
      <c r="C31" s="221"/>
      <c r="D31" s="221"/>
      <c r="E31" s="221"/>
      <c r="F31" s="221"/>
      <c r="G31" s="221"/>
      <c r="H31" s="221"/>
      <c r="I31" s="221"/>
      <c r="J31" s="222"/>
      <c r="K31" s="227"/>
      <c r="L31" s="228"/>
      <c r="M31" s="228"/>
      <c r="N31" s="228"/>
      <c r="O31" s="228"/>
      <c r="P31" s="228"/>
      <c r="Q31" s="228"/>
      <c r="R31" s="228"/>
      <c r="S31" s="228"/>
      <c r="T31" s="228"/>
      <c r="U31" s="228"/>
      <c r="V31" s="228"/>
      <c r="W31" s="228"/>
      <c r="X31" s="228"/>
      <c r="Y31" s="228"/>
      <c r="Z31" s="228"/>
      <c r="AA31" s="228"/>
      <c r="AB31" s="229"/>
    </row>
    <row r="32" spans="1:29" ht="42.75" customHeight="1" thickBot="1" x14ac:dyDescent="0.3">
      <c r="A32" s="66" t="s">
        <v>169</v>
      </c>
      <c r="B32" s="220" t="s">
        <v>154</v>
      </c>
      <c r="C32" s="221"/>
      <c r="D32" s="221"/>
      <c r="E32" s="221"/>
      <c r="F32" s="221"/>
      <c r="G32" s="221"/>
      <c r="H32" s="221"/>
      <c r="I32" s="221"/>
      <c r="J32" s="222"/>
      <c r="K32" s="242"/>
      <c r="L32" s="243"/>
      <c r="M32" s="243"/>
      <c r="N32" s="243"/>
      <c r="O32" s="243"/>
      <c r="P32" s="243"/>
      <c r="Q32" s="243"/>
      <c r="R32" s="243"/>
      <c r="S32" s="243"/>
      <c r="T32" s="243"/>
      <c r="U32" s="243"/>
      <c r="V32" s="243"/>
      <c r="W32" s="243"/>
      <c r="X32" s="243"/>
      <c r="Y32" s="243"/>
      <c r="Z32" s="243"/>
      <c r="AA32" s="243"/>
      <c r="AB32" s="244"/>
    </row>
    <row r="33" spans="1:28" ht="27.75" customHeight="1" x14ac:dyDescent="0.25">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row>
    <row r="34" spans="1:28" ht="27.75" customHeight="1" x14ac:dyDescent="0.25">
      <c r="A34" s="167"/>
      <c r="B34" s="245" t="s">
        <v>193</v>
      </c>
      <c r="C34" s="245"/>
      <c r="D34" s="245"/>
      <c r="E34" s="245"/>
      <c r="F34" s="245"/>
      <c r="G34" s="245"/>
      <c r="H34" s="245"/>
      <c r="I34" s="245"/>
      <c r="J34" s="245"/>
      <c r="K34" s="245"/>
      <c r="L34" s="245"/>
      <c r="M34" s="245"/>
      <c r="N34" s="245"/>
      <c r="O34" s="245"/>
      <c r="P34" s="245"/>
      <c r="Q34" s="245"/>
      <c r="R34" s="245"/>
      <c r="S34" s="245"/>
      <c r="T34" s="245"/>
      <c r="U34" s="245"/>
      <c r="V34" s="245"/>
      <c r="W34" s="245"/>
      <c r="X34" s="245"/>
      <c r="Y34" s="245"/>
      <c r="Z34" s="245"/>
      <c r="AA34" s="245"/>
      <c r="AB34" s="167"/>
    </row>
    <row r="35" spans="1:28" ht="27.75" customHeight="1" thickBot="1" x14ac:dyDescent="0.3">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c r="AA35" s="167"/>
      <c r="AB35" s="167"/>
    </row>
    <row r="36" spans="1:28" ht="27.75" customHeight="1" thickBot="1" x14ac:dyDescent="0.3">
      <c r="A36" s="167"/>
      <c r="B36" s="246" t="s">
        <v>36</v>
      </c>
      <c r="C36" s="247"/>
      <c r="D36" s="248"/>
      <c r="E36" s="248"/>
      <c r="F36" s="248"/>
      <c r="G36" s="248"/>
      <c r="H36" s="249"/>
      <c r="I36" s="167"/>
      <c r="J36" s="255" t="s">
        <v>196</v>
      </c>
      <c r="K36" s="255"/>
      <c r="L36" s="255"/>
      <c r="M36" s="255"/>
      <c r="N36" s="255"/>
      <c r="O36" s="255"/>
      <c r="P36" s="255"/>
      <c r="Q36" s="255"/>
      <c r="R36" s="255"/>
      <c r="S36" s="255"/>
      <c r="T36" s="255"/>
      <c r="U36" s="255"/>
      <c r="V36" s="255"/>
      <c r="W36" s="255"/>
      <c r="X36" s="255"/>
      <c r="Y36" s="255"/>
      <c r="Z36" s="255"/>
      <c r="AA36" s="255"/>
      <c r="AB36" s="167"/>
    </row>
    <row r="37" spans="1:28" ht="27.75" customHeight="1" thickBot="1" x14ac:dyDescent="0.45">
      <c r="A37" s="167"/>
      <c r="B37" s="250" t="s">
        <v>39</v>
      </c>
      <c r="C37" s="251"/>
      <c r="D37" s="84" t="s">
        <v>40</v>
      </c>
      <c r="E37" s="84" t="s">
        <v>41</v>
      </c>
      <c r="F37" s="84" t="s">
        <v>42</v>
      </c>
      <c r="G37" s="84" t="s">
        <v>43</v>
      </c>
      <c r="H37" s="84" t="s">
        <v>44</v>
      </c>
      <c r="I37" s="167"/>
      <c r="J37" s="255"/>
      <c r="K37" s="255"/>
      <c r="L37" s="255"/>
      <c r="M37" s="255"/>
      <c r="N37" s="255"/>
      <c r="O37" s="255"/>
      <c r="P37" s="255"/>
      <c r="Q37" s="255"/>
      <c r="R37" s="255"/>
      <c r="S37" s="255"/>
      <c r="T37" s="255"/>
      <c r="U37" s="255"/>
      <c r="V37" s="255"/>
      <c r="W37" s="255"/>
      <c r="X37" s="255"/>
      <c r="Y37" s="255"/>
      <c r="Z37" s="255"/>
      <c r="AA37" s="255"/>
      <c r="AB37" s="167"/>
    </row>
    <row r="38" spans="1:28" ht="27.75" customHeight="1" x14ac:dyDescent="0.25">
      <c r="A38" s="167"/>
      <c r="B38" s="252" t="s">
        <v>38</v>
      </c>
      <c r="C38" s="26" t="s">
        <v>44</v>
      </c>
      <c r="D38" s="162" t="s">
        <v>45</v>
      </c>
      <c r="E38" s="163" t="s">
        <v>46</v>
      </c>
      <c r="F38" s="163" t="s">
        <v>46</v>
      </c>
      <c r="G38" s="164" t="s">
        <v>47</v>
      </c>
      <c r="H38" s="164" t="s">
        <v>47</v>
      </c>
      <c r="I38" s="167"/>
      <c r="J38" s="255"/>
      <c r="K38" s="255"/>
      <c r="L38" s="255"/>
      <c r="M38" s="255"/>
      <c r="N38" s="255"/>
      <c r="O38" s="255"/>
      <c r="P38" s="255"/>
      <c r="Q38" s="255"/>
      <c r="R38" s="255"/>
      <c r="S38" s="255"/>
      <c r="T38" s="255"/>
      <c r="U38" s="255"/>
      <c r="V38" s="255"/>
      <c r="W38" s="255"/>
      <c r="X38" s="255"/>
      <c r="Y38" s="255"/>
      <c r="Z38" s="255"/>
      <c r="AA38" s="255"/>
      <c r="AB38" s="167"/>
    </row>
    <row r="39" spans="1:28" ht="27.75" customHeight="1" x14ac:dyDescent="0.25">
      <c r="A39" s="167"/>
      <c r="B39" s="253"/>
      <c r="C39" s="26" t="s">
        <v>43</v>
      </c>
      <c r="D39" s="165" t="s">
        <v>48</v>
      </c>
      <c r="E39" s="162" t="s">
        <v>45</v>
      </c>
      <c r="F39" s="163" t="s">
        <v>46</v>
      </c>
      <c r="G39" s="164" t="s">
        <v>47</v>
      </c>
      <c r="H39" s="164" t="s">
        <v>47</v>
      </c>
      <c r="I39" s="167"/>
      <c r="J39" s="255"/>
      <c r="K39" s="255"/>
      <c r="L39" s="255"/>
      <c r="M39" s="255"/>
      <c r="N39" s="255"/>
      <c r="O39" s="255"/>
      <c r="P39" s="255"/>
      <c r="Q39" s="255"/>
      <c r="R39" s="255"/>
      <c r="S39" s="255"/>
      <c r="T39" s="255"/>
      <c r="U39" s="255"/>
      <c r="V39" s="255"/>
      <c r="W39" s="255"/>
      <c r="X39" s="255"/>
      <c r="Y39" s="255"/>
      <c r="Z39" s="255"/>
      <c r="AA39" s="255"/>
      <c r="AB39" s="167"/>
    </row>
    <row r="40" spans="1:28" ht="27.75" customHeight="1" x14ac:dyDescent="0.25">
      <c r="A40" s="167"/>
      <c r="B40" s="253"/>
      <c r="C40" s="26" t="s">
        <v>42</v>
      </c>
      <c r="D40" s="165" t="s">
        <v>48</v>
      </c>
      <c r="E40" s="162" t="s">
        <v>45</v>
      </c>
      <c r="F40" s="162" t="s">
        <v>45</v>
      </c>
      <c r="G40" s="163" t="s">
        <v>46</v>
      </c>
      <c r="H40" s="164" t="s">
        <v>47</v>
      </c>
      <c r="I40" s="167"/>
      <c r="J40" s="255"/>
      <c r="K40" s="255"/>
      <c r="L40" s="255"/>
      <c r="M40" s="255"/>
      <c r="N40" s="255"/>
      <c r="O40" s="255"/>
      <c r="P40" s="255"/>
      <c r="Q40" s="255"/>
      <c r="R40" s="255"/>
      <c r="S40" s="255"/>
      <c r="T40" s="255"/>
      <c r="U40" s="255"/>
      <c r="V40" s="255"/>
      <c r="W40" s="255"/>
      <c r="X40" s="255"/>
      <c r="Y40" s="255"/>
      <c r="Z40" s="255"/>
      <c r="AA40" s="255"/>
      <c r="AB40" s="167"/>
    </row>
    <row r="41" spans="1:28" ht="27.75" customHeight="1" x14ac:dyDescent="0.25">
      <c r="A41" s="167"/>
      <c r="B41" s="253"/>
      <c r="C41" s="26" t="s">
        <v>41</v>
      </c>
      <c r="D41" s="165" t="s">
        <v>48</v>
      </c>
      <c r="E41" s="165" t="s">
        <v>48</v>
      </c>
      <c r="F41" s="162" t="s">
        <v>45</v>
      </c>
      <c r="G41" s="163" t="s">
        <v>46</v>
      </c>
      <c r="H41" s="164" t="s">
        <v>47</v>
      </c>
      <c r="I41" s="167"/>
      <c r="J41" s="255"/>
      <c r="K41" s="255"/>
      <c r="L41" s="255"/>
      <c r="M41" s="255"/>
      <c r="N41" s="255"/>
      <c r="O41" s="255"/>
      <c r="P41" s="255"/>
      <c r="Q41" s="255"/>
      <c r="R41" s="255"/>
      <c r="S41" s="255"/>
      <c r="T41" s="255"/>
      <c r="U41" s="255"/>
      <c r="V41" s="255"/>
      <c r="W41" s="255"/>
      <c r="X41" s="255"/>
      <c r="Y41" s="255"/>
      <c r="Z41" s="255"/>
      <c r="AA41" s="255"/>
      <c r="AB41" s="167"/>
    </row>
    <row r="42" spans="1:28" ht="27.75" customHeight="1" thickBot="1" x14ac:dyDescent="0.3">
      <c r="A42" s="167"/>
      <c r="B42" s="254"/>
      <c r="C42" s="26" t="s">
        <v>40</v>
      </c>
      <c r="D42" s="165" t="s">
        <v>48</v>
      </c>
      <c r="E42" s="165" t="s">
        <v>48</v>
      </c>
      <c r="F42" s="165" t="s">
        <v>48</v>
      </c>
      <c r="G42" s="162" t="s">
        <v>45</v>
      </c>
      <c r="H42" s="163" t="s">
        <v>46</v>
      </c>
      <c r="I42" s="167"/>
      <c r="J42" s="255"/>
      <c r="K42" s="255"/>
      <c r="L42" s="255"/>
      <c r="M42" s="255"/>
      <c r="N42" s="255"/>
      <c r="O42" s="255"/>
      <c r="P42" s="255"/>
      <c r="Q42" s="255"/>
      <c r="R42" s="255"/>
      <c r="S42" s="255"/>
      <c r="T42" s="255"/>
      <c r="U42" s="255"/>
      <c r="V42" s="255"/>
      <c r="W42" s="255"/>
      <c r="X42" s="255"/>
      <c r="Y42" s="255"/>
      <c r="Z42" s="255"/>
      <c r="AA42" s="255"/>
      <c r="AB42" s="167"/>
    </row>
    <row r="43" spans="1:28" ht="27.75" customHeight="1" thickBot="1" x14ac:dyDescent="0.3">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c r="AA43" s="167"/>
      <c r="AB43" s="167"/>
    </row>
    <row r="44" spans="1:28" ht="27.75" customHeight="1" thickBot="1" x14ac:dyDescent="0.3">
      <c r="A44" s="167"/>
      <c r="B44" s="246" t="s">
        <v>194</v>
      </c>
      <c r="C44" s="247"/>
      <c r="D44" s="248"/>
      <c r="E44" s="248"/>
      <c r="F44" s="248"/>
      <c r="G44" s="248"/>
      <c r="H44" s="249"/>
      <c r="I44" s="167"/>
      <c r="J44" s="256" t="s">
        <v>197</v>
      </c>
      <c r="K44" s="256"/>
      <c r="L44" s="256"/>
      <c r="M44" s="256"/>
      <c r="N44" s="256"/>
      <c r="O44" s="256"/>
      <c r="P44" s="256"/>
      <c r="Q44" s="256"/>
      <c r="R44" s="256"/>
      <c r="S44" s="256"/>
      <c r="T44" s="256"/>
      <c r="U44" s="256"/>
      <c r="V44" s="256"/>
      <c r="W44" s="256"/>
      <c r="X44" s="256"/>
      <c r="Y44" s="256"/>
      <c r="Z44" s="256"/>
      <c r="AA44" s="256"/>
      <c r="AB44" s="167"/>
    </row>
    <row r="45" spans="1:28" ht="27.75" customHeight="1" thickBot="1" x14ac:dyDescent="0.45">
      <c r="A45" s="167"/>
      <c r="B45" s="250" t="s">
        <v>39</v>
      </c>
      <c r="C45" s="251"/>
      <c r="D45" s="84" t="s">
        <v>40</v>
      </c>
      <c r="E45" s="84" t="s">
        <v>41</v>
      </c>
      <c r="F45" s="84" t="s">
        <v>42</v>
      </c>
      <c r="G45" s="84" t="s">
        <v>43</v>
      </c>
      <c r="H45" s="84" t="s">
        <v>44</v>
      </c>
      <c r="I45" s="167"/>
      <c r="J45" s="256"/>
      <c r="K45" s="256"/>
      <c r="L45" s="256"/>
      <c r="M45" s="256"/>
      <c r="N45" s="256"/>
      <c r="O45" s="256"/>
      <c r="P45" s="256"/>
      <c r="Q45" s="256"/>
      <c r="R45" s="256"/>
      <c r="S45" s="256"/>
      <c r="T45" s="256"/>
      <c r="U45" s="256"/>
      <c r="V45" s="256"/>
      <c r="W45" s="256"/>
      <c r="X45" s="256"/>
      <c r="Y45" s="256"/>
      <c r="Z45" s="256"/>
      <c r="AA45" s="256"/>
      <c r="AB45" s="167"/>
    </row>
    <row r="46" spans="1:28" ht="27.75" customHeight="1" x14ac:dyDescent="0.25">
      <c r="A46" s="167"/>
      <c r="B46" s="252" t="s">
        <v>195</v>
      </c>
      <c r="C46" s="26" t="s">
        <v>44</v>
      </c>
      <c r="D46" s="162" t="s">
        <v>45</v>
      </c>
      <c r="E46" s="163" t="s">
        <v>46</v>
      </c>
      <c r="F46" s="163" t="s">
        <v>46</v>
      </c>
      <c r="G46" s="164" t="s">
        <v>47</v>
      </c>
      <c r="H46" s="164" t="s">
        <v>47</v>
      </c>
      <c r="I46" s="167"/>
      <c r="J46" s="256"/>
      <c r="K46" s="256"/>
      <c r="L46" s="256"/>
      <c r="M46" s="256"/>
      <c r="N46" s="256"/>
      <c r="O46" s="256"/>
      <c r="P46" s="256"/>
      <c r="Q46" s="256"/>
      <c r="R46" s="256"/>
      <c r="S46" s="256"/>
      <c r="T46" s="256"/>
      <c r="U46" s="256"/>
      <c r="V46" s="256"/>
      <c r="W46" s="256"/>
      <c r="X46" s="256"/>
      <c r="Y46" s="256"/>
      <c r="Z46" s="256"/>
      <c r="AA46" s="256"/>
      <c r="AB46" s="167"/>
    </row>
    <row r="47" spans="1:28" ht="27.75" customHeight="1" x14ac:dyDescent="0.25">
      <c r="A47" s="167"/>
      <c r="B47" s="253"/>
      <c r="C47" s="26" t="s">
        <v>43</v>
      </c>
      <c r="D47" s="165" t="s">
        <v>48</v>
      </c>
      <c r="E47" s="162" t="s">
        <v>45</v>
      </c>
      <c r="F47" s="163" t="s">
        <v>46</v>
      </c>
      <c r="G47" s="164" t="s">
        <v>47</v>
      </c>
      <c r="H47" s="164" t="s">
        <v>47</v>
      </c>
      <c r="I47" s="167"/>
      <c r="J47" s="256"/>
      <c r="K47" s="256"/>
      <c r="L47" s="256"/>
      <c r="M47" s="256"/>
      <c r="N47" s="256"/>
      <c r="O47" s="256"/>
      <c r="P47" s="256"/>
      <c r="Q47" s="256"/>
      <c r="R47" s="256"/>
      <c r="S47" s="256"/>
      <c r="T47" s="256"/>
      <c r="U47" s="256"/>
      <c r="V47" s="256"/>
      <c r="W47" s="256"/>
      <c r="X47" s="256"/>
      <c r="Y47" s="256"/>
      <c r="Z47" s="256"/>
      <c r="AA47" s="256"/>
      <c r="AB47" s="167"/>
    </row>
    <row r="48" spans="1:28" ht="27.75" customHeight="1" x14ac:dyDescent="0.25">
      <c r="A48" s="167"/>
      <c r="B48" s="253"/>
      <c r="C48" s="26" t="s">
        <v>42</v>
      </c>
      <c r="D48" s="165" t="s">
        <v>48</v>
      </c>
      <c r="E48" s="162" t="s">
        <v>45</v>
      </c>
      <c r="F48" s="162" t="s">
        <v>45</v>
      </c>
      <c r="G48" s="163" t="s">
        <v>46</v>
      </c>
      <c r="H48" s="164" t="s">
        <v>47</v>
      </c>
      <c r="I48" s="167"/>
      <c r="J48" s="256"/>
      <c r="K48" s="256"/>
      <c r="L48" s="256"/>
      <c r="M48" s="256"/>
      <c r="N48" s="256"/>
      <c r="O48" s="256"/>
      <c r="P48" s="256"/>
      <c r="Q48" s="256"/>
      <c r="R48" s="256"/>
      <c r="S48" s="256"/>
      <c r="T48" s="256"/>
      <c r="U48" s="256"/>
      <c r="V48" s="256"/>
      <c r="W48" s="256"/>
      <c r="X48" s="256"/>
      <c r="Y48" s="256"/>
      <c r="Z48" s="256"/>
      <c r="AA48" s="256"/>
      <c r="AB48" s="167"/>
    </row>
    <row r="49" spans="1:28" ht="27.75" customHeight="1" x14ac:dyDescent="0.25">
      <c r="A49" s="167"/>
      <c r="B49" s="253"/>
      <c r="C49" s="26" t="s">
        <v>41</v>
      </c>
      <c r="D49" s="165" t="s">
        <v>48</v>
      </c>
      <c r="E49" s="165" t="s">
        <v>48</v>
      </c>
      <c r="F49" s="162" t="s">
        <v>45</v>
      </c>
      <c r="G49" s="163" t="s">
        <v>46</v>
      </c>
      <c r="H49" s="164" t="s">
        <v>47</v>
      </c>
      <c r="I49" s="167"/>
      <c r="J49" s="256"/>
      <c r="K49" s="256"/>
      <c r="L49" s="256"/>
      <c r="M49" s="256"/>
      <c r="N49" s="256"/>
      <c r="O49" s="256"/>
      <c r="P49" s="256"/>
      <c r="Q49" s="256"/>
      <c r="R49" s="256"/>
      <c r="S49" s="256"/>
      <c r="T49" s="256"/>
      <c r="U49" s="256"/>
      <c r="V49" s="256"/>
      <c r="W49" s="256"/>
      <c r="X49" s="256"/>
      <c r="Y49" s="256"/>
      <c r="Z49" s="256"/>
      <c r="AA49" s="256"/>
      <c r="AB49" s="167"/>
    </row>
    <row r="50" spans="1:28" ht="27.75" customHeight="1" thickBot="1" x14ac:dyDescent="0.3">
      <c r="A50" s="167"/>
      <c r="B50" s="254"/>
      <c r="C50" s="26" t="s">
        <v>40</v>
      </c>
      <c r="D50" s="165" t="s">
        <v>48</v>
      </c>
      <c r="E50" s="165" t="s">
        <v>48</v>
      </c>
      <c r="F50" s="165" t="s">
        <v>48</v>
      </c>
      <c r="G50" s="162" t="s">
        <v>45</v>
      </c>
      <c r="H50" s="163" t="s">
        <v>46</v>
      </c>
      <c r="I50" s="167"/>
      <c r="J50" s="256"/>
      <c r="K50" s="256"/>
      <c r="L50" s="256"/>
      <c r="M50" s="256"/>
      <c r="N50" s="256"/>
      <c r="O50" s="256"/>
      <c r="P50" s="256"/>
      <c r="Q50" s="256"/>
      <c r="R50" s="256"/>
      <c r="S50" s="256"/>
      <c r="T50" s="256"/>
      <c r="U50" s="256"/>
      <c r="V50" s="256"/>
      <c r="W50" s="256"/>
      <c r="X50" s="256"/>
      <c r="Y50" s="256"/>
      <c r="Z50" s="256"/>
      <c r="AA50" s="256"/>
      <c r="AB50" s="167"/>
    </row>
    <row r="51" spans="1:28" ht="27.75" customHeight="1" x14ac:dyDescent="0.25">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row>
    <row r="52" spans="1:28" ht="27.75" customHeight="1" x14ac:dyDescent="0.25">
      <c r="A52" s="167"/>
      <c r="B52" s="257" t="s">
        <v>198</v>
      </c>
      <c r="C52" s="257"/>
      <c r="D52" s="257"/>
      <c r="E52" s="257"/>
      <c r="F52" s="257"/>
      <c r="G52" s="257"/>
      <c r="H52" s="257"/>
      <c r="I52" s="257"/>
      <c r="J52" s="257"/>
      <c r="K52" s="257"/>
      <c r="L52" s="257"/>
      <c r="M52" s="257"/>
      <c r="N52" s="257"/>
      <c r="O52" s="257"/>
      <c r="P52" s="257"/>
      <c r="Q52" s="257"/>
      <c r="R52" s="257"/>
      <c r="S52" s="257"/>
      <c r="T52" s="257"/>
      <c r="U52" s="257"/>
      <c r="V52" s="257"/>
      <c r="W52" s="257"/>
      <c r="X52" s="257"/>
      <c r="Y52" s="257"/>
      <c r="Z52" s="257"/>
      <c r="AA52" s="257"/>
      <c r="AB52" s="167"/>
    </row>
    <row r="53" spans="1:28" ht="27.75" customHeight="1" x14ac:dyDescent="0.25">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row>
    <row r="54" spans="1:28" ht="27.75" customHeight="1" x14ac:dyDescent="0.25">
      <c r="A54" s="167"/>
      <c r="B54" s="258" t="s">
        <v>212</v>
      </c>
      <c r="C54" s="259"/>
      <c r="D54" s="259"/>
      <c r="E54" s="259"/>
      <c r="F54" s="259"/>
      <c r="G54" s="259"/>
      <c r="H54" s="259"/>
      <c r="I54" s="259"/>
      <c r="J54" s="167"/>
      <c r="K54" s="260" t="e" vm="1">
        <v>#VALUE!</v>
      </c>
      <c r="L54" s="260"/>
      <c r="M54" s="260"/>
      <c r="N54" s="260"/>
      <c r="O54" s="260"/>
      <c r="P54" s="260"/>
      <c r="Q54" s="260"/>
      <c r="R54" s="260"/>
      <c r="S54" s="260"/>
      <c r="T54" s="260"/>
      <c r="U54" s="260"/>
      <c r="V54" s="260"/>
      <c r="W54" s="260"/>
      <c r="X54" s="260"/>
      <c r="Y54" s="260"/>
      <c r="Z54" s="260"/>
      <c r="AA54" s="167"/>
      <c r="AB54" s="167"/>
    </row>
    <row r="55" spans="1:28" ht="27.75" customHeight="1" x14ac:dyDescent="0.25">
      <c r="A55" s="167"/>
      <c r="B55" s="259"/>
      <c r="C55" s="259"/>
      <c r="D55" s="259"/>
      <c r="E55" s="259"/>
      <c r="F55" s="259"/>
      <c r="G55" s="259"/>
      <c r="H55" s="259"/>
      <c r="I55" s="259"/>
      <c r="J55" s="167"/>
      <c r="K55" s="260"/>
      <c r="L55" s="260"/>
      <c r="M55" s="260"/>
      <c r="N55" s="260"/>
      <c r="O55" s="260"/>
      <c r="P55" s="260"/>
      <c r="Q55" s="260"/>
      <c r="R55" s="260"/>
      <c r="S55" s="260"/>
      <c r="T55" s="260"/>
      <c r="U55" s="260"/>
      <c r="V55" s="260"/>
      <c r="W55" s="260"/>
      <c r="X55" s="260"/>
      <c r="Y55" s="260"/>
      <c r="Z55" s="260"/>
      <c r="AA55" s="167"/>
      <c r="AB55" s="167"/>
    </row>
    <row r="56" spans="1:28" ht="27.75" customHeight="1" x14ac:dyDescent="0.25">
      <c r="A56" s="167"/>
      <c r="B56" s="259"/>
      <c r="C56" s="259"/>
      <c r="D56" s="259"/>
      <c r="E56" s="259"/>
      <c r="F56" s="259"/>
      <c r="G56" s="259"/>
      <c r="H56" s="259"/>
      <c r="I56" s="259"/>
      <c r="J56" s="167"/>
      <c r="K56" s="260"/>
      <c r="L56" s="260"/>
      <c r="M56" s="260"/>
      <c r="N56" s="260"/>
      <c r="O56" s="260"/>
      <c r="P56" s="260"/>
      <c r="Q56" s="260"/>
      <c r="R56" s="260"/>
      <c r="S56" s="260"/>
      <c r="T56" s="260"/>
      <c r="U56" s="260"/>
      <c r="V56" s="260"/>
      <c r="W56" s="260"/>
      <c r="X56" s="260"/>
      <c r="Y56" s="260"/>
      <c r="Z56" s="260"/>
      <c r="AA56" s="167"/>
      <c r="AB56" s="167"/>
    </row>
    <row r="57" spans="1:28" ht="27.75" customHeight="1" x14ac:dyDescent="0.25">
      <c r="A57" s="167"/>
      <c r="B57" s="259"/>
      <c r="C57" s="259"/>
      <c r="D57" s="259"/>
      <c r="E57" s="259"/>
      <c r="F57" s="259"/>
      <c r="G57" s="259"/>
      <c r="H57" s="259"/>
      <c r="I57" s="259"/>
      <c r="J57" s="167"/>
      <c r="K57" s="260"/>
      <c r="L57" s="260"/>
      <c r="M57" s="260"/>
      <c r="N57" s="260"/>
      <c r="O57" s="260"/>
      <c r="P57" s="260"/>
      <c r="Q57" s="260"/>
      <c r="R57" s="260"/>
      <c r="S57" s="260"/>
      <c r="T57" s="260"/>
      <c r="U57" s="260"/>
      <c r="V57" s="260"/>
      <c r="W57" s="260"/>
      <c r="X57" s="260"/>
      <c r="Y57" s="260"/>
      <c r="Z57" s="260"/>
      <c r="AA57" s="167"/>
      <c r="AB57" s="167"/>
    </row>
    <row r="58" spans="1:28" ht="27.75" customHeight="1" x14ac:dyDescent="0.25">
      <c r="A58" s="167"/>
      <c r="B58" s="259"/>
      <c r="C58" s="259"/>
      <c r="D58" s="259"/>
      <c r="E58" s="259"/>
      <c r="F58" s="259"/>
      <c r="G58" s="259"/>
      <c r="H58" s="259"/>
      <c r="I58" s="259"/>
      <c r="J58" s="167"/>
      <c r="K58" s="260"/>
      <c r="L58" s="260"/>
      <c r="M58" s="260"/>
      <c r="N58" s="260"/>
      <c r="O58" s="260"/>
      <c r="P58" s="260"/>
      <c r="Q58" s="260"/>
      <c r="R58" s="260"/>
      <c r="S58" s="260"/>
      <c r="T58" s="260"/>
      <c r="U58" s="260"/>
      <c r="V58" s="260"/>
      <c r="W58" s="260"/>
      <c r="X58" s="260"/>
      <c r="Y58" s="260"/>
      <c r="Z58" s="260"/>
      <c r="AA58" s="167"/>
      <c r="AB58" s="167"/>
    </row>
    <row r="59" spans="1:28" ht="27.75" customHeight="1" x14ac:dyDescent="0.25">
      <c r="A59" s="167"/>
      <c r="B59" s="259"/>
      <c r="C59" s="259"/>
      <c r="D59" s="259"/>
      <c r="E59" s="259"/>
      <c r="F59" s="259"/>
      <c r="G59" s="259"/>
      <c r="H59" s="259"/>
      <c r="I59" s="259"/>
      <c r="J59" s="167"/>
      <c r="K59" s="260"/>
      <c r="L59" s="260"/>
      <c r="M59" s="260"/>
      <c r="N59" s="260"/>
      <c r="O59" s="260"/>
      <c r="P59" s="260"/>
      <c r="Q59" s="260"/>
      <c r="R59" s="260"/>
      <c r="S59" s="260"/>
      <c r="T59" s="260"/>
      <c r="U59" s="260"/>
      <c r="V59" s="260"/>
      <c r="W59" s="260"/>
      <c r="X59" s="260"/>
      <c r="Y59" s="260"/>
      <c r="Z59" s="260"/>
      <c r="AA59" s="167"/>
      <c r="AB59" s="167"/>
    </row>
    <row r="60" spans="1:28" ht="27.75" customHeight="1" x14ac:dyDescent="0.25">
      <c r="A60" s="167"/>
      <c r="B60" s="259"/>
      <c r="C60" s="259"/>
      <c r="D60" s="259"/>
      <c r="E60" s="259"/>
      <c r="F60" s="259"/>
      <c r="G60" s="259"/>
      <c r="H60" s="259"/>
      <c r="I60" s="259"/>
      <c r="J60" s="167"/>
      <c r="K60" s="260"/>
      <c r="L60" s="260"/>
      <c r="M60" s="260"/>
      <c r="N60" s="260"/>
      <c r="O60" s="260"/>
      <c r="P60" s="260"/>
      <c r="Q60" s="260"/>
      <c r="R60" s="260"/>
      <c r="S60" s="260"/>
      <c r="T60" s="260"/>
      <c r="U60" s="260"/>
      <c r="V60" s="260"/>
      <c r="W60" s="260"/>
      <c r="X60" s="260"/>
      <c r="Y60" s="260"/>
      <c r="Z60" s="260"/>
      <c r="AA60" s="167"/>
      <c r="AB60" s="167"/>
    </row>
    <row r="61" spans="1:28" ht="27.75" customHeight="1" x14ac:dyDescent="0.25">
      <c r="A61" s="167"/>
      <c r="B61" s="259"/>
      <c r="C61" s="259"/>
      <c r="D61" s="259"/>
      <c r="E61" s="259"/>
      <c r="F61" s="259"/>
      <c r="G61" s="259"/>
      <c r="H61" s="259"/>
      <c r="I61" s="259"/>
      <c r="J61" s="167"/>
      <c r="K61" s="260"/>
      <c r="L61" s="260"/>
      <c r="M61" s="260"/>
      <c r="N61" s="260"/>
      <c r="O61" s="260"/>
      <c r="P61" s="260"/>
      <c r="Q61" s="260"/>
      <c r="R61" s="260"/>
      <c r="S61" s="260"/>
      <c r="T61" s="260"/>
      <c r="U61" s="260"/>
      <c r="V61" s="260"/>
      <c r="W61" s="260"/>
      <c r="X61" s="260"/>
      <c r="Y61" s="260"/>
      <c r="Z61" s="260"/>
      <c r="AA61" s="167"/>
      <c r="AB61" s="167"/>
    </row>
    <row r="62" spans="1:28" ht="27.75" customHeight="1" x14ac:dyDescent="0.25">
      <c r="A62" s="167"/>
      <c r="B62" s="259"/>
      <c r="C62" s="259"/>
      <c r="D62" s="259"/>
      <c r="E62" s="259"/>
      <c r="F62" s="259"/>
      <c r="G62" s="259"/>
      <c r="H62" s="259"/>
      <c r="I62" s="259"/>
      <c r="J62" s="167"/>
      <c r="K62" s="260"/>
      <c r="L62" s="260"/>
      <c r="M62" s="260"/>
      <c r="N62" s="260"/>
      <c r="O62" s="260"/>
      <c r="P62" s="260"/>
      <c r="Q62" s="260"/>
      <c r="R62" s="260"/>
      <c r="S62" s="260"/>
      <c r="T62" s="260"/>
      <c r="U62" s="260"/>
      <c r="V62" s="260"/>
      <c r="W62" s="260"/>
      <c r="X62" s="260"/>
      <c r="Y62" s="260"/>
      <c r="Z62" s="260"/>
      <c r="AA62" s="167"/>
      <c r="AB62" s="167"/>
    </row>
    <row r="63" spans="1:28" ht="27.75" customHeight="1" x14ac:dyDescent="0.25">
      <c r="A63" s="167"/>
      <c r="B63" s="259"/>
      <c r="C63" s="259"/>
      <c r="D63" s="259"/>
      <c r="E63" s="259"/>
      <c r="F63" s="259"/>
      <c r="G63" s="259"/>
      <c r="H63" s="259"/>
      <c r="I63" s="259"/>
      <c r="J63" s="167"/>
      <c r="K63" s="260"/>
      <c r="L63" s="260"/>
      <c r="M63" s="260"/>
      <c r="N63" s="260"/>
      <c r="O63" s="260"/>
      <c r="P63" s="260"/>
      <c r="Q63" s="260"/>
      <c r="R63" s="260"/>
      <c r="S63" s="260"/>
      <c r="T63" s="260"/>
      <c r="U63" s="260"/>
      <c r="V63" s="260"/>
      <c r="W63" s="260"/>
      <c r="X63" s="260"/>
      <c r="Y63" s="260"/>
      <c r="Z63" s="260"/>
      <c r="AA63" s="167"/>
      <c r="AB63" s="167"/>
    </row>
    <row r="64" spans="1:28" ht="27.75" customHeight="1" x14ac:dyDescent="0.25">
      <c r="A64" s="167"/>
      <c r="B64" s="259"/>
      <c r="C64" s="259"/>
      <c r="D64" s="259"/>
      <c r="E64" s="259"/>
      <c r="F64" s="259"/>
      <c r="G64" s="259"/>
      <c r="H64" s="259"/>
      <c r="I64" s="259"/>
      <c r="J64" s="167"/>
      <c r="K64" s="260"/>
      <c r="L64" s="260"/>
      <c r="M64" s="260"/>
      <c r="N64" s="260"/>
      <c r="O64" s="260"/>
      <c r="P64" s="260"/>
      <c r="Q64" s="260"/>
      <c r="R64" s="260"/>
      <c r="S64" s="260"/>
      <c r="T64" s="260"/>
      <c r="U64" s="260"/>
      <c r="V64" s="260"/>
      <c r="W64" s="260"/>
      <c r="X64" s="260"/>
      <c r="Y64" s="260"/>
      <c r="Z64" s="260"/>
      <c r="AA64" s="167"/>
      <c r="AB64" s="167"/>
    </row>
    <row r="65" spans="1:28" ht="27.75" customHeight="1" x14ac:dyDescent="0.25">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c r="AA65" s="167"/>
      <c r="AB65" s="167"/>
    </row>
    <row r="66" spans="1:28" ht="27.75" customHeight="1" x14ac:dyDescent="0.25">
      <c r="A66" s="167"/>
      <c r="B66" s="261" t="e" vm="2">
        <v>#VALUE!</v>
      </c>
      <c r="C66" s="261"/>
      <c r="D66" s="261"/>
      <c r="E66" s="261"/>
      <c r="F66" s="261"/>
      <c r="G66" s="261"/>
      <c r="H66" s="261"/>
      <c r="I66" s="261"/>
      <c r="J66" s="167"/>
      <c r="K66" s="258" t="s">
        <v>203</v>
      </c>
      <c r="L66" s="259"/>
      <c r="M66" s="259"/>
      <c r="N66" s="259"/>
      <c r="O66" s="259"/>
      <c r="P66" s="259"/>
      <c r="Q66" s="259"/>
      <c r="R66" s="259"/>
      <c r="S66" s="259"/>
      <c r="T66" s="259"/>
      <c r="U66" s="259"/>
      <c r="V66" s="259"/>
      <c r="W66" s="259"/>
      <c r="X66" s="259"/>
      <c r="Y66" s="259"/>
      <c r="Z66" s="259"/>
      <c r="AA66" s="167"/>
      <c r="AB66" s="167"/>
    </row>
    <row r="67" spans="1:28" ht="27.75" customHeight="1" x14ac:dyDescent="0.25">
      <c r="A67" s="167"/>
      <c r="B67" s="261"/>
      <c r="C67" s="261"/>
      <c r="D67" s="261"/>
      <c r="E67" s="261"/>
      <c r="F67" s="261"/>
      <c r="G67" s="261"/>
      <c r="H67" s="261"/>
      <c r="I67" s="261"/>
      <c r="J67" s="167"/>
      <c r="K67" s="259"/>
      <c r="L67" s="259"/>
      <c r="M67" s="259"/>
      <c r="N67" s="259"/>
      <c r="O67" s="259"/>
      <c r="P67" s="259"/>
      <c r="Q67" s="259"/>
      <c r="R67" s="259"/>
      <c r="S67" s="259"/>
      <c r="T67" s="259"/>
      <c r="U67" s="259"/>
      <c r="V67" s="259"/>
      <c r="W67" s="259"/>
      <c r="X67" s="259"/>
      <c r="Y67" s="259"/>
      <c r="Z67" s="259"/>
      <c r="AA67" s="167"/>
      <c r="AB67" s="167"/>
    </row>
    <row r="68" spans="1:28" ht="27.75" customHeight="1" x14ac:dyDescent="0.25">
      <c r="A68" s="167"/>
      <c r="B68" s="261"/>
      <c r="C68" s="261"/>
      <c r="D68" s="261"/>
      <c r="E68" s="261"/>
      <c r="F68" s="261"/>
      <c r="G68" s="261"/>
      <c r="H68" s="261"/>
      <c r="I68" s="261"/>
      <c r="J68" s="167"/>
      <c r="K68" s="259"/>
      <c r="L68" s="259"/>
      <c r="M68" s="259"/>
      <c r="N68" s="259"/>
      <c r="O68" s="259"/>
      <c r="P68" s="259"/>
      <c r="Q68" s="259"/>
      <c r="R68" s="259"/>
      <c r="S68" s="259"/>
      <c r="T68" s="259"/>
      <c r="U68" s="259"/>
      <c r="V68" s="259"/>
      <c r="W68" s="259"/>
      <c r="X68" s="259"/>
      <c r="Y68" s="259"/>
      <c r="Z68" s="259"/>
      <c r="AA68" s="167"/>
      <c r="AB68" s="167"/>
    </row>
    <row r="69" spans="1:28" ht="27.75" customHeight="1" x14ac:dyDescent="0.25">
      <c r="A69" s="167"/>
      <c r="B69" s="261"/>
      <c r="C69" s="261"/>
      <c r="D69" s="261"/>
      <c r="E69" s="261"/>
      <c r="F69" s="261"/>
      <c r="G69" s="261"/>
      <c r="H69" s="261"/>
      <c r="I69" s="261"/>
      <c r="J69" s="167"/>
      <c r="K69" s="259"/>
      <c r="L69" s="259"/>
      <c r="M69" s="259"/>
      <c r="N69" s="259"/>
      <c r="O69" s="259"/>
      <c r="P69" s="259"/>
      <c r="Q69" s="259"/>
      <c r="R69" s="259"/>
      <c r="S69" s="259"/>
      <c r="T69" s="259"/>
      <c r="U69" s="259"/>
      <c r="V69" s="259"/>
      <c r="W69" s="259"/>
      <c r="X69" s="259"/>
      <c r="Y69" s="259"/>
      <c r="Z69" s="259"/>
      <c r="AA69" s="167"/>
      <c r="AB69" s="167"/>
    </row>
    <row r="70" spans="1:28" ht="27.75" customHeight="1" x14ac:dyDescent="0.25">
      <c r="A70" s="167"/>
      <c r="B70" s="261"/>
      <c r="C70" s="261"/>
      <c r="D70" s="261"/>
      <c r="E70" s="261"/>
      <c r="F70" s="261"/>
      <c r="G70" s="261"/>
      <c r="H70" s="261"/>
      <c r="I70" s="261"/>
      <c r="J70" s="167"/>
      <c r="K70" s="259"/>
      <c r="L70" s="259"/>
      <c r="M70" s="259"/>
      <c r="N70" s="259"/>
      <c r="O70" s="259"/>
      <c r="P70" s="259"/>
      <c r="Q70" s="259"/>
      <c r="R70" s="259"/>
      <c r="S70" s="259"/>
      <c r="T70" s="259"/>
      <c r="U70" s="259"/>
      <c r="V70" s="259"/>
      <c r="W70" s="259"/>
      <c r="X70" s="259"/>
      <c r="Y70" s="259"/>
      <c r="Z70" s="259"/>
      <c r="AA70" s="167"/>
      <c r="AB70" s="167"/>
    </row>
    <row r="71" spans="1:28" ht="27.75" customHeight="1" x14ac:dyDescent="0.25">
      <c r="A71" s="167"/>
      <c r="B71" s="261"/>
      <c r="C71" s="261"/>
      <c r="D71" s="261"/>
      <c r="E71" s="261"/>
      <c r="F71" s="261"/>
      <c r="G71" s="261"/>
      <c r="H71" s="261"/>
      <c r="I71" s="261"/>
      <c r="J71" s="167"/>
      <c r="K71" s="259"/>
      <c r="L71" s="259"/>
      <c r="M71" s="259"/>
      <c r="N71" s="259"/>
      <c r="O71" s="259"/>
      <c r="P71" s="259"/>
      <c r="Q71" s="259"/>
      <c r="R71" s="259"/>
      <c r="S71" s="259"/>
      <c r="T71" s="259"/>
      <c r="U71" s="259"/>
      <c r="V71" s="259"/>
      <c r="W71" s="259"/>
      <c r="X71" s="259"/>
      <c r="Y71" s="259"/>
      <c r="Z71" s="259"/>
      <c r="AA71" s="167"/>
      <c r="AB71" s="167"/>
    </row>
    <row r="72" spans="1:28" ht="27.75" customHeight="1" x14ac:dyDescent="0.25">
      <c r="A72" s="167"/>
      <c r="B72" s="261"/>
      <c r="C72" s="261"/>
      <c r="D72" s="261"/>
      <c r="E72" s="261"/>
      <c r="F72" s="261"/>
      <c r="G72" s="261"/>
      <c r="H72" s="261"/>
      <c r="I72" s="261"/>
      <c r="J72" s="167"/>
      <c r="K72" s="259"/>
      <c r="L72" s="259"/>
      <c r="M72" s="259"/>
      <c r="N72" s="259"/>
      <c r="O72" s="259"/>
      <c r="P72" s="259"/>
      <c r="Q72" s="259"/>
      <c r="R72" s="259"/>
      <c r="S72" s="259"/>
      <c r="T72" s="259"/>
      <c r="U72" s="259"/>
      <c r="V72" s="259"/>
      <c r="W72" s="259"/>
      <c r="X72" s="259"/>
      <c r="Y72" s="259"/>
      <c r="Z72" s="259"/>
      <c r="AA72" s="167"/>
      <c r="AB72" s="167"/>
    </row>
    <row r="73" spans="1:28" ht="27.75" customHeight="1" x14ac:dyDescent="0.25">
      <c r="A73" s="167"/>
      <c r="B73" s="261"/>
      <c r="C73" s="261"/>
      <c r="D73" s="261"/>
      <c r="E73" s="261"/>
      <c r="F73" s="261"/>
      <c r="G73" s="261"/>
      <c r="H73" s="261"/>
      <c r="I73" s="261"/>
      <c r="J73" s="167"/>
      <c r="K73" s="167"/>
      <c r="L73" s="167"/>
      <c r="M73" s="167"/>
      <c r="N73" s="167"/>
      <c r="O73" s="167"/>
      <c r="P73" s="167"/>
      <c r="Q73" s="167"/>
      <c r="R73" s="167"/>
      <c r="S73" s="167"/>
      <c r="T73" s="167"/>
      <c r="U73" s="167"/>
      <c r="V73" s="167"/>
      <c r="W73" s="167"/>
      <c r="X73" s="167"/>
      <c r="Y73" s="167"/>
      <c r="Z73" s="167"/>
      <c r="AA73" s="167"/>
      <c r="AB73" s="167"/>
    </row>
    <row r="74" spans="1:28" ht="27.75" customHeight="1" x14ac:dyDescent="0.25">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c r="AA74" s="167"/>
      <c r="AB74" s="167"/>
    </row>
    <row r="75" spans="1:28" ht="27.75" customHeight="1" x14ac:dyDescent="0.25">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c r="AA75" s="167"/>
      <c r="AB75" s="167"/>
    </row>
    <row r="76" spans="1:28" ht="27.75" customHeight="1" x14ac:dyDescent="0.25">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c r="AA76" s="167"/>
      <c r="AB76" s="167"/>
    </row>
    <row r="77" spans="1:28" ht="27.75" customHeight="1" x14ac:dyDescent="0.25">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c r="AA77" s="167"/>
      <c r="AB77" s="167"/>
    </row>
    <row r="78" spans="1:28" ht="27.75" customHeight="1" x14ac:dyDescent="0.25">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c r="AA78" s="167"/>
      <c r="AB78" s="167"/>
    </row>
    <row r="79" spans="1:28" ht="27.75" customHeight="1" x14ac:dyDescent="0.25">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c r="AA79" s="167"/>
      <c r="AB79" s="167"/>
    </row>
    <row r="80" spans="1:28" ht="27.75" customHeight="1" x14ac:dyDescent="0.25">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c r="AA80" s="167"/>
      <c r="AB80" s="167"/>
    </row>
    <row r="81" spans="1:28" ht="27.75" customHeight="1" x14ac:dyDescent="0.25">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c r="AA81" s="167"/>
      <c r="AB81" s="167"/>
    </row>
    <row r="82" spans="1:28" ht="27.75" customHeight="1" x14ac:dyDescent="0.25">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c r="AA82" s="167"/>
      <c r="AB82" s="167"/>
    </row>
    <row r="83" spans="1:28" ht="27.75" customHeight="1" x14ac:dyDescent="0.25">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c r="AA83" s="167"/>
      <c r="AB83" s="167"/>
    </row>
    <row r="84" spans="1:28" ht="27.75" customHeight="1" x14ac:dyDescent="0.25">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c r="AA84" s="167"/>
      <c r="AB84" s="167"/>
    </row>
    <row r="85" spans="1:28" ht="27.75" customHeight="1" x14ac:dyDescent="0.25">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c r="AA85" s="167"/>
      <c r="AB85" s="167"/>
    </row>
    <row r="86" spans="1:28" ht="27.75" customHeight="1" x14ac:dyDescent="0.25">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c r="AA86" s="167"/>
      <c r="AB86" s="167"/>
    </row>
    <row r="87" spans="1:28" ht="27.75" customHeight="1" x14ac:dyDescent="0.25">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c r="AA87" s="167"/>
      <c r="AB87" s="167"/>
    </row>
    <row r="88" spans="1:28" ht="27.75" customHeight="1" x14ac:dyDescent="0.25">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c r="AA88" s="167"/>
      <c r="AB88" s="167"/>
    </row>
    <row r="89" spans="1:28" ht="27.75" customHeight="1" x14ac:dyDescent="0.25">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c r="AA89" s="167"/>
      <c r="AB89" s="167"/>
    </row>
    <row r="90" spans="1:28" ht="27.75" customHeight="1" x14ac:dyDescent="0.25">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c r="AA90" s="167"/>
      <c r="AB90" s="167"/>
    </row>
    <row r="91" spans="1:28" ht="27.75" customHeight="1" x14ac:dyDescent="0.25">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c r="AA91" s="167"/>
      <c r="AB91" s="167"/>
    </row>
    <row r="92" spans="1:28" ht="27.75" customHeight="1" x14ac:dyDescent="0.25">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c r="AA92" s="167"/>
      <c r="AB92" s="167"/>
    </row>
    <row r="93" spans="1:28" ht="27.75" customHeight="1" x14ac:dyDescent="0.25">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c r="AA93" s="167"/>
      <c r="AB93" s="167"/>
    </row>
    <row r="94" spans="1:28" ht="27.75" customHeight="1" x14ac:dyDescent="0.25">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row>
    <row r="95" spans="1:28" ht="27.75" customHeight="1" x14ac:dyDescent="0.2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c r="AA95" s="167"/>
      <c r="AB95" s="167"/>
    </row>
    <row r="96" spans="1:28" ht="27.75" customHeight="1" x14ac:dyDescent="0.25">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c r="AA96" s="167"/>
      <c r="AB96" s="167"/>
    </row>
    <row r="97" spans="1:28" ht="27.75" customHeight="1" x14ac:dyDescent="0.25">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c r="AA97" s="167"/>
      <c r="AB97" s="167"/>
    </row>
    <row r="98" spans="1:28" ht="27.75" customHeight="1" x14ac:dyDescent="0.25">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c r="AA98" s="167"/>
      <c r="AB98" s="167"/>
    </row>
    <row r="99" spans="1:28" ht="27.75" customHeight="1" x14ac:dyDescent="0.25">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c r="AA99" s="167"/>
      <c r="AB99" s="167"/>
    </row>
    <row r="100" spans="1:28" ht="27.75" customHeight="1" x14ac:dyDescent="0.25">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row>
    <row r="101" spans="1:28" ht="27.75" customHeight="1" x14ac:dyDescent="0.25">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row>
    <row r="102" spans="1:28" ht="27.75" customHeight="1" x14ac:dyDescent="0.25">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row>
    <row r="103" spans="1:28" ht="27.75" customHeight="1" x14ac:dyDescent="0.25">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c r="AA103" s="167"/>
      <c r="AB103" s="167"/>
    </row>
    <row r="104" spans="1:28" ht="27.75" customHeight="1" x14ac:dyDescent="0.25">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c r="AA104" s="167"/>
      <c r="AB104" s="167"/>
    </row>
    <row r="105" spans="1:28" ht="27.75" customHeight="1" x14ac:dyDescent="0.2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row>
    <row r="106" spans="1:28" ht="27.75" customHeight="1" x14ac:dyDescent="0.25">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row>
    <row r="107" spans="1:28" ht="27.75" customHeight="1" x14ac:dyDescent="0.25">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row>
    <row r="108" spans="1:28" ht="27.75" customHeight="1" x14ac:dyDescent="0.25">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c r="AA108" s="167"/>
      <c r="AB108" s="167"/>
    </row>
    <row r="109" spans="1:28" ht="27.75" customHeight="1" x14ac:dyDescent="0.25">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row>
    <row r="110" spans="1:28" ht="27.75" customHeight="1" x14ac:dyDescent="0.25">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c r="AA110" s="167"/>
      <c r="AB110" s="167"/>
    </row>
    <row r="111" spans="1:28" ht="27.75" customHeight="1" x14ac:dyDescent="0.25">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row>
    <row r="112" spans="1:28" ht="27.75" customHeight="1" x14ac:dyDescent="0.25">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c r="AA112" s="167"/>
      <c r="AB112" s="167"/>
    </row>
    <row r="113" spans="1:28" ht="27.75" customHeight="1" x14ac:dyDescent="0.25">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c r="AA113" s="167"/>
      <c r="AB113" s="167"/>
    </row>
    <row r="114" spans="1:28" ht="27.75" customHeight="1" x14ac:dyDescent="0.25">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row>
    <row r="115" spans="1:28" ht="27.75" customHeight="1" x14ac:dyDescent="0.2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c r="AA115" s="167"/>
      <c r="AB115" s="167"/>
    </row>
    <row r="116" spans="1:28" ht="27.75" customHeight="1" x14ac:dyDescent="0.25">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row>
    <row r="117" spans="1:28" ht="27.75" customHeight="1" x14ac:dyDescent="0.25">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row>
    <row r="118" spans="1:28" ht="27.75" customHeight="1" x14ac:dyDescent="0.25">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row>
    <row r="119" spans="1:28" ht="27.75" customHeight="1" x14ac:dyDescent="0.25">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c r="AA119" s="167"/>
      <c r="AB119" s="167"/>
    </row>
  </sheetData>
  <sheetProtection algorithmName="SHA-512" hashValue="IVCzrMpFDIDYp7yGOOEuthyJ89nnLjimiNh3SipXL3v/L+LXdskPydsJdreX/+MlpOwd+idOgFyD/klZo1OHWQ==" saltValue="+0Eo9VdfYp448KYvoA7C6g==" spinCount="100000" sheet="1" objects="1" scenarios="1"/>
  <mergeCells count="50">
    <mergeCell ref="B52:AA52"/>
    <mergeCell ref="B54:I64"/>
    <mergeCell ref="K54:Z64"/>
    <mergeCell ref="K66:Z72"/>
    <mergeCell ref="B66:I73"/>
    <mergeCell ref="B38:B42"/>
    <mergeCell ref="B44:H44"/>
    <mergeCell ref="B45:C45"/>
    <mergeCell ref="B46:B50"/>
    <mergeCell ref="J36:AA42"/>
    <mergeCell ref="J44:AA50"/>
    <mergeCell ref="K29:AB32"/>
    <mergeCell ref="B34:AA34"/>
    <mergeCell ref="B36:H36"/>
    <mergeCell ref="B37:C37"/>
    <mergeCell ref="B26:J26"/>
    <mergeCell ref="B32:J32"/>
    <mergeCell ref="B27:J27"/>
    <mergeCell ref="B28:J28"/>
    <mergeCell ref="B29:J29"/>
    <mergeCell ref="B30:J30"/>
    <mergeCell ref="B31:J31"/>
    <mergeCell ref="B2:AA5"/>
    <mergeCell ref="B7:AA15"/>
    <mergeCell ref="K17:AC17"/>
    <mergeCell ref="B22:J22"/>
    <mergeCell ref="B23:J23"/>
    <mergeCell ref="A17:J17"/>
    <mergeCell ref="B18:J18"/>
    <mergeCell ref="B19:J19"/>
    <mergeCell ref="B20:J20"/>
    <mergeCell ref="B21:J21"/>
    <mergeCell ref="M18:Q18"/>
    <mergeCell ref="S20:W20"/>
    <mergeCell ref="X20:AB20"/>
    <mergeCell ref="S21:W21"/>
    <mergeCell ref="X21:AB21"/>
    <mergeCell ref="S22:W22"/>
    <mergeCell ref="B24:J24"/>
    <mergeCell ref="B25:J25"/>
    <mergeCell ref="S23:W23"/>
    <mergeCell ref="X23:AB23"/>
    <mergeCell ref="S24:W24"/>
    <mergeCell ref="X24:AB24"/>
    <mergeCell ref="K25:AB28"/>
    <mergeCell ref="S18:W18"/>
    <mergeCell ref="X18:AB18"/>
    <mergeCell ref="S19:W19"/>
    <mergeCell ref="X19:AB19"/>
    <mergeCell ref="X22:AB22"/>
  </mergeCells>
  <conditionalFormatting sqref="M19:Q24">
    <cfRule type="colorScale" priority="1">
      <colorScale>
        <cfvo type="min"/>
        <cfvo type="percentile" val="50"/>
        <cfvo type="max"/>
        <color rgb="FFFF7128"/>
        <color rgb="FFFFEB84"/>
        <color theme="9" tint="-0.249977111117893"/>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xr2:uid="{2DA71260-A4EC-49D1-A4EB-20FCBABB2A4D}">
          <x14:colorSeries theme="3" tint="0.34998626667073579"/>
          <x14:colorNegative theme="0" tint="-0.249977111117893"/>
          <x14:colorAxis rgb="FF000000"/>
          <x14:colorMarkers theme="5" tint="-0.249977111117893"/>
          <x14:colorFirst theme="0" tint="-0.249977111117893"/>
          <x14:colorLast theme="0" tint="-0.249977111117893"/>
          <x14:colorHigh theme="0" tint="-0.249977111117893"/>
          <x14:colorLow theme="0" tint="-0.249977111117893"/>
          <x14:sparklines>
            <x14:sparkline>
              <xm:f>Instructions!M19:Q19</xm:f>
              <xm:sqref>M18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D1C25-D962-4AE9-882C-60C964A1C1F7}">
  <sheetPr codeName="Foglio1">
    <tabColor rgb="FF00B0F0"/>
  </sheetPr>
  <dimension ref="A1:AA26"/>
  <sheetViews>
    <sheetView showGridLines="0" topLeftCell="B3" zoomScaleNormal="100" workbookViewId="0">
      <selection activeCell="H9" sqref="H9"/>
    </sheetView>
  </sheetViews>
  <sheetFormatPr defaultRowHeight="15" x14ac:dyDescent="0.25"/>
  <cols>
    <col min="1" max="1" width="10.140625" customWidth="1"/>
  </cols>
  <sheetData>
    <row r="1" spans="1:27" ht="39" customHeight="1" thickBot="1" x14ac:dyDescent="0.3">
      <c r="A1" s="282" t="s">
        <v>99</v>
      </c>
      <c r="B1" s="282"/>
      <c r="C1" s="282"/>
      <c r="D1" s="282"/>
      <c r="E1" s="282"/>
      <c r="F1" s="282"/>
      <c r="I1" s="281" t="s">
        <v>192</v>
      </c>
      <c r="J1" s="281"/>
      <c r="K1" s="281"/>
      <c r="L1" s="281"/>
      <c r="M1" s="281"/>
      <c r="N1" s="281"/>
      <c r="O1" s="281"/>
      <c r="P1" s="281"/>
      <c r="Q1" s="281"/>
      <c r="R1" s="281"/>
      <c r="S1" s="281"/>
      <c r="T1" s="281"/>
      <c r="U1" s="281"/>
      <c r="V1" s="281"/>
      <c r="W1" s="281"/>
      <c r="X1" s="281"/>
      <c r="Y1" s="281"/>
      <c r="Z1" s="281"/>
      <c r="AA1" s="281"/>
    </row>
    <row r="2" spans="1:27" ht="48" customHeight="1" thickTop="1" thickBot="1" x14ac:dyDescent="0.3">
      <c r="A2" s="283" t="s">
        <v>91</v>
      </c>
      <c r="B2" s="283"/>
      <c r="C2" s="89" t="s">
        <v>95</v>
      </c>
      <c r="D2" s="90" t="s">
        <v>96</v>
      </c>
      <c r="I2" s="264"/>
      <c r="J2" s="265"/>
      <c r="K2" s="265"/>
      <c r="L2" s="265"/>
      <c r="M2" s="265"/>
      <c r="N2" s="265"/>
      <c r="O2" s="265"/>
      <c r="P2" s="265"/>
      <c r="Q2" s="265"/>
      <c r="R2" s="265"/>
      <c r="S2" s="265"/>
      <c r="T2" s="265"/>
      <c r="U2" s="265"/>
      <c r="V2" s="265"/>
      <c r="W2" s="265"/>
      <c r="X2" s="265"/>
      <c r="Y2" s="265"/>
      <c r="Z2" s="265"/>
      <c r="AA2" s="266"/>
    </row>
    <row r="3" spans="1:27" ht="48" customHeight="1" thickBot="1" x14ac:dyDescent="0.3">
      <c r="A3" s="284" t="s">
        <v>92</v>
      </c>
      <c r="B3" s="285"/>
      <c r="C3" s="89" t="s">
        <v>95</v>
      </c>
      <c r="D3" s="91" t="s">
        <v>97</v>
      </c>
      <c r="I3" s="267"/>
      <c r="J3" s="268"/>
      <c r="K3" s="268"/>
      <c r="L3" s="268"/>
      <c r="M3" s="268"/>
      <c r="N3" s="268"/>
      <c r="O3" s="268"/>
      <c r="P3" s="268"/>
      <c r="Q3" s="268"/>
      <c r="R3" s="268"/>
      <c r="S3" s="268"/>
      <c r="T3" s="268"/>
      <c r="U3" s="268"/>
      <c r="V3" s="268"/>
      <c r="W3" s="268"/>
      <c r="X3" s="268"/>
      <c r="Y3" s="268"/>
      <c r="Z3" s="268"/>
      <c r="AA3" s="269"/>
    </row>
    <row r="4" spans="1:27" ht="48" customHeight="1" thickBot="1" x14ac:dyDescent="0.3">
      <c r="A4" s="286" t="s">
        <v>93</v>
      </c>
      <c r="B4" s="287"/>
      <c r="C4" s="92" t="s">
        <v>98</v>
      </c>
      <c r="D4" s="91" t="s">
        <v>97</v>
      </c>
      <c r="I4" s="270"/>
      <c r="J4" s="271"/>
      <c r="K4" s="271"/>
      <c r="L4" s="271"/>
      <c r="M4" s="271"/>
      <c r="N4" s="271"/>
      <c r="O4" s="271"/>
      <c r="P4" s="271"/>
      <c r="Q4" s="271"/>
      <c r="R4" s="271"/>
      <c r="S4" s="271"/>
      <c r="T4" s="271"/>
      <c r="U4" s="271"/>
      <c r="V4" s="271"/>
      <c r="W4" s="271"/>
      <c r="X4" s="271"/>
      <c r="Y4" s="271"/>
      <c r="Z4" s="271"/>
      <c r="AA4" s="272"/>
    </row>
    <row r="5" spans="1:27" ht="48" customHeight="1" thickBot="1" x14ac:dyDescent="0.3">
      <c r="A5" s="276" t="s">
        <v>94</v>
      </c>
      <c r="B5" s="277"/>
      <c r="C5" s="92" t="s">
        <v>98</v>
      </c>
      <c r="D5" s="90" t="s">
        <v>96</v>
      </c>
      <c r="I5" s="273"/>
      <c r="J5" s="274"/>
      <c r="K5" s="274"/>
      <c r="L5" s="274"/>
      <c r="M5" s="274"/>
      <c r="N5" s="274"/>
      <c r="O5" s="274"/>
      <c r="P5" s="274"/>
      <c r="Q5" s="274"/>
      <c r="R5" s="274"/>
      <c r="S5" s="274"/>
      <c r="T5" s="274"/>
      <c r="U5" s="274"/>
      <c r="V5" s="274"/>
      <c r="W5" s="274"/>
      <c r="X5" s="274"/>
      <c r="Y5" s="274"/>
      <c r="Z5" s="274"/>
      <c r="AA5" s="275"/>
    </row>
    <row r="6" spans="1:27" ht="45" customHeight="1" thickBot="1" x14ac:dyDescent="0.3">
      <c r="A6" s="280" t="s">
        <v>90</v>
      </c>
      <c r="B6" s="280"/>
      <c r="C6" s="280"/>
      <c r="D6" s="280"/>
      <c r="E6" s="280"/>
      <c r="F6" s="169" t="s">
        <v>204</v>
      </c>
      <c r="G6" s="169" t="s">
        <v>205</v>
      </c>
      <c r="H6" s="168" t="s">
        <v>206</v>
      </c>
      <c r="O6" s="295" t="s">
        <v>213</v>
      </c>
      <c r="P6" s="295"/>
      <c r="Q6" s="295"/>
      <c r="R6" s="295"/>
      <c r="S6" s="295"/>
      <c r="T6" s="295"/>
      <c r="U6" s="295"/>
      <c r="V6" s="295"/>
      <c r="W6" s="295"/>
    </row>
    <row r="7" spans="1:27" ht="13.5" customHeight="1" thickTop="1" x14ac:dyDescent="0.25">
      <c r="A7" s="289" t="s">
        <v>221</v>
      </c>
      <c r="B7" s="289"/>
      <c r="C7" s="289"/>
      <c r="D7" s="289"/>
      <c r="E7" s="289"/>
      <c r="F7" s="289"/>
      <c r="G7" s="289"/>
      <c r="H7" s="289"/>
    </row>
    <row r="8" spans="1:27" ht="48" customHeight="1" thickBot="1" x14ac:dyDescent="0.3">
      <c r="A8" s="278"/>
      <c r="B8" s="279"/>
      <c r="C8" s="279"/>
      <c r="D8" s="279"/>
      <c r="E8" s="279"/>
      <c r="F8" s="172"/>
      <c r="G8" s="172"/>
      <c r="H8" s="173">
        <v>0</v>
      </c>
      <c r="I8" s="290" t="str">
        <f>IFERROR(REPT("█",ROUND(H8*10,0))&amp;REPT("░",10-ROUND(H8*10,0)),REPT("░",10))</f>
        <v>░░░░░░░░░░</v>
      </c>
      <c r="J8" s="291"/>
      <c r="O8" s="296" t="s">
        <v>225</v>
      </c>
      <c r="P8" s="297"/>
      <c r="Q8" s="297"/>
      <c r="R8" s="297"/>
      <c r="S8" s="297"/>
      <c r="T8" s="297"/>
      <c r="U8" s="297"/>
      <c r="V8" s="297"/>
      <c r="W8" s="297"/>
    </row>
    <row r="9" spans="1:27" ht="48" customHeight="1" thickBot="1" x14ac:dyDescent="0.3">
      <c r="A9" s="262"/>
      <c r="B9" s="263"/>
      <c r="C9" s="263"/>
      <c r="D9" s="263"/>
      <c r="E9" s="263"/>
      <c r="F9" s="171"/>
      <c r="G9" s="171"/>
      <c r="H9" s="170">
        <v>0</v>
      </c>
      <c r="I9" s="290" t="str">
        <f t="shared" ref="I9:I25" si="0">IFERROR(REPT("█",ROUND(H9*10,0))&amp;REPT("░",10-ROUND(H9*10,0)),REPT("░",10))</f>
        <v>░░░░░░░░░░</v>
      </c>
      <c r="J9" s="291"/>
      <c r="O9" s="297"/>
      <c r="P9" s="297"/>
      <c r="Q9" s="297"/>
      <c r="R9" s="297"/>
      <c r="S9" s="297"/>
      <c r="T9" s="297"/>
      <c r="U9" s="297"/>
      <c r="V9" s="297"/>
      <c r="W9" s="297"/>
    </row>
    <row r="10" spans="1:27" ht="48" customHeight="1" thickBot="1" x14ac:dyDescent="0.3">
      <c r="A10" s="262"/>
      <c r="B10" s="263"/>
      <c r="C10" s="263"/>
      <c r="D10" s="263"/>
      <c r="E10" s="263"/>
      <c r="F10" s="171"/>
      <c r="G10" s="171"/>
      <c r="H10" s="170">
        <v>0</v>
      </c>
      <c r="I10" s="290" t="str">
        <f t="shared" si="0"/>
        <v>░░░░░░░░░░</v>
      </c>
      <c r="J10" s="291"/>
      <c r="O10" s="297"/>
      <c r="P10" s="297"/>
      <c r="Q10" s="297"/>
      <c r="R10" s="297"/>
      <c r="S10" s="297"/>
      <c r="T10" s="297"/>
      <c r="U10" s="297"/>
      <c r="V10" s="297"/>
      <c r="W10" s="297"/>
    </row>
    <row r="11" spans="1:27" ht="48" customHeight="1" thickBot="1" x14ac:dyDescent="0.3">
      <c r="A11" s="262"/>
      <c r="B11" s="263"/>
      <c r="C11" s="263"/>
      <c r="D11" s="263"/>
      <c r="E11" s="263"/>
      <c r="F11" s="171"/>
      <c r="G11" s="171"/>
      <c r="H11" s="170">
        <v>0</v>
      </c>
      <c r="I11" s="290" t="str">
        <f t="shared" si="0"/>
        <v>░░░░░░░░░░</v>
      </c>
      <c r="J11" s="291"/>
      <c r="O11" s="298" t="s">
        <v>227</v>
      </c>
      <c r="P11" s="296"/>
      <c r="Q11" s="296"/>
      <c r="R11" s="296"/>
      <c r="S11" s="296"/>
      <c r="T11" s="296"/>
      <c r="U11" s="296"/>
      <c r="V11" s="296"/>
      <c r="W11" s="296"/>
    </row>
    <row r="12" spans="1:27" ht="48" customHeight="1" thickBot="1" x14ac:dyDescent="0.3">
      <c r="A12" s="262"/>
      <c r="B12" s="263"/>
      <c r="C12" s="263"/>
      <c r="D12" s="263"/>
      <c r="E12" s="263"/>
      <c r="F12" s="171"/>
      <c r="G12" s="171"/>
      <c r="H12" s="170">
        <v>0</v>
      </c>
      <c r="I12" s="290" t="str">
        <f t="shared" si="0"/>
        <v>░░░░░░░░░░</v>
      </c>
      <c r="J12" s="291"/>
      <c r="O12" s="296"/>
      <c r="P12" s="296"/>
      <c r="Q12" s="296"/>
      <c r="R12" s="296"/>
      <c r="S12" s="296"/>
      <c r="T12" s="296"/>
      <c r="U12" s="296"/>
      <c r="V12" s="296"/>
      <c r="W12" s="296"/>
    </row>
    <row r="13" spans="1:27" ht="48" customHeight="1" thickBot="1" x14ac:dyDescent="0.3">
      <c r="A13" s="262"/>
      <c r="B13" s="263"/>
      <c r="C13" s="263"/>
      <c r="D13" s="263"/>
      <c r="E13" s="263"/>
      <c r="F13" s="171"/>
      <c r="G13" s="171"/>
      <c r="H13" s="170">
        <v>0</v>
      </c>
      <c r="I13" s="290" t="str">
        <f t="shared" si="0"/>
        <v>░░░░░░░░░░</v>
      </c>
      <c r="J13" s="291"/>
    </row>
    <row r="14" spans="1:27" ht="48" customHeight="1" thickBot="1" x14ac:dyDescent="0.3">
      <c r="A14" s="262"/>
      <c r="B14" s="263"/>
      <c r="C14" s="263"/>
      <c r="D14" s="263"/>
      <c r="E14" s="263"/>
      <c r="F14" s="171"/>
      <c r="G14" s="171"/>
      <c r="H14" s="170">
        <v>0</v>
      </c>
      <c r="I14" s="290" t="str">
        <f t="shared" si="0"/>
        <v>░░░░░░░░░░</v>
      </c>
      <c r="J14" s="291"/>
    </row>
    <row r="15" spans="1:27" ht="48" customHeight="1" thickBot="1" x14ac:dyDescent="0.3">
      <c r="A15" s="262"/>
      <c r="B15" s="263"/>
      <c r="C15" s="263"/>
      <c r="D15" s="263"/>
      <c r="E15" s="263"/>
      <c r="F15" s="171"/>
      <c r="G15" s="171"/>
      <c r="H15" s="170">
        <v>0</v>
      </c>
      <c r="I15" s="290" t="str">
        <f t="shared" si="0"/>
        <v>░░░░░░░░░░</v>
      </c>
      <c r="J15" s="291"/>
    </row>
    <row r="16" spans="1:27" ht="48" customHeight="1" thickBot="1" x14ac:dyDescent="0.3">
      <c r="A16" s="262"/>
      <c r="B16" s="263"/>
      <c r="C16" s="263"/>
      <c r="D16" s="263"/>
      <c r="E16" s="263"/>
      <c r="F16" s="171"/>
      <c r="G16" s="171"/>
      <c r="H16" s="170">
        <v>0</v>
      </c>
      <c r="I16" s="290" t="str">
        <f t="shared" si="0"/>
        <v>░░░░░░░░░░</v>
      </c>
      <c r="J16" s="291"/>
    </row>
    <row r="17" spans="1:10" ht="48" customHeight="1" thickBot="1" x14ac:dyDescent="0.3">
      <c r="A17" s="262"/>
      <c r="B17" s="263"/>
      <c r="C17" s="263"/>
      <c r="D17" s="263"/>
      <c r="E17" s="263"/>
      <c r="F17" s="171"/>
      <c r="G17" s="171"/>
      <c r="H17" s="170">
        <v>0</v>
      </c>
      <c r="I17" s="290" t="str">
        <f t="shared" si="0"/>
        <v>░░░░░░░░░░</v>
      </c>
      <c r="J17" s="291"/>
    </row>
    <row r="18" spans="1:10" ht="48" customHeight="1" thickBot="1" x14ac:dyDescent="0.3">
      <c r="A18" s="262"/>
      <c r="B18" s="263"/>
      <c r="C18" s="263"/>
      <c r="D18" s="263"/>
      <c r="E18" s="263"/>
      <c r="F18" s="171"/>
      <c r="G18" s="171"/>
      <c r="H18" s="170">
        <v>0</v>
      </c>
      <c r="I18" s="290" t="str">
        <f t="shared" si="0"/>
        <v>░░░░░░░░░░</v>
      </c>
      <c r="J18" s="291"/>
    </row>
    <row r="19" spans="1:10" ht="48" customHeight="1" thickBot="1" x14ac:dyDescent="0.3">
      <c r="A19" s="262"/>
      <c r="B19" s="263"/>
      <c r="C19" s="263"/>
      <c r="D19" s="263"/>
      <c r="E19" s="263"/>
      <c r="F19" s="171"/>
      <c r="G19" s="171"/>
      <c r="H19" s="170">
        <v>0</v>
      </c>
      <c r="I19" s="290" t="str">
        <f t="shared" si="0"/>
        <v>░░░░░░░░░░</v>
      </c>
      <c r="J19" s="291"/>
    </row>
    <row r="20" spans="1:10" ht="48" customHeight="1" thickBot="1" x14ac:dyDescent="0.3">
      <c r="A20" s="262"/>
      <c r="B20" s="263"/>
      <c r="C20" s="263"/>
      <c r="D20" s="263"/>
      <c r="E20" s="263"/>
      <c r="F20" s="171"/>
      <c r="G20" s="171"/>
      <c r="H20" s="170">
        <v>0</v>
      </c>
      <c r="I20" s="290" t="str">
        <f t="shared" si="0"/>
        <v>░░░░░░░░░░</v>
      </c>
      <c r="J20" s="291"/>
    </row>
    <row r="21" spans="1:10" ht="48" customHeight="1" thickBot="1" x14ac:dyDescent="0.3">
      <c r="A21" s="262"/>
      <c r="B21" s="263"/>
      <c r="C21" s="263"/>
      <c r="D21" s="263"/>
      <c r="E21" s="263"/>
      <c r="F21" s="171"/>
      <c r="G21" s="171"/>
      <c r="H21" s="170">
        <v>0</v>
      </c>
      <c r="I21" s="290" t="str">
        <f t="shared" si="0"/>
        <v>░░░░░░░░░░</v>
      </c>
      <c r="J21" s="291"/>
    </row>
    <row r="22" spans="1:10" ht="48" customHeight="1" thickBot="1" x14ac:dyDescent="0.3">
      <c r="A22" s="262"/>
      <c r="B22" s="263"/>
      <c r="C22" s="263"/>
      <c r="D22" s="263"/>
      <c r="E22" s="263"/>
      <c r="F22" s="171"/>
      <c r="G22" s="171"/>
      <c r="H22" s="170">
        <v>0</v>
      </c>
      <c r="I22" s="290" t="str">
        <f t="shared" si="0"/>
        <v>░░░░░░░░░░</v>
      </c>
      <c r="J22" s="291"/>
    </row>
    <row r="23" spans="1:10" ht="48" customHeight="1" thickBot="1" x14ac:dyDescent="0.3">
      <c r="A23" s="262"/>
      <c r="B23" s="263"/>
      <c r="C23" s="263"/>
      <c r="D23" s="263"/>
      <c r="E23" s="263"/>
      <c r="F23" s="171"/>
      <c r="G23" s="171"/>
      <c r="H23" s="170">
        <v>0</v>
      </c>
      <c r="I23" s="290" t="str">
        <f t="shared" si="0"/>
        <v>░░░░░░░░░░</v>
      </c>
      <c r="J23" s="291"/>
    </row>
    <row r="24" spans="1:10" ht="48" customHeight="1" x14ac:dyDescent="0.25">
      <c r="A24" s="292"/>
      <c r="B24" s="293"/>
      <c r="C24" s="293"/>
      <c r="D24" s="293"/>
      <c r="E24" s="293"/>
      <c r="F24" s="174"/>
      <c r="G24" s="174"/>
      <c r="H24" s="170">
        <v>0</v>
      </c>
      <c r="I24" s="290" t="str">
        <f t="shared" si="0"/>
        <v>░░░░░░░░░░</v>
      </c>
      <c r="J24" s="291"/>
    </row>
    <row r="25" spans="1:10" ht="48" customHeight="1" x14ac:dyDescent="0.25">
      <c r="A25" s="294"/>
      <c r="B25" s="294"/>
      <c r="C25" s="294"/>
      <c r="D25" s="294"/>
      <c r="E25" s="294"/>
      <c r="F25" s="171"/>
      <c r="G25" s="171"/>
      <c r="H25" s="175">
        <v>0</v>
      </c>
      <c r="I25" s="299" t="str">
        <f t="shared" si="0"/>
        <v>░░░░░░░░░░</v>
      </c>
      <c r="J25" s="291"/>
    </row>
    <row r="26" spans="1:10" ht="48" customHeight="1" x14ac:dyDescent="0.25">
      <c r="A26" s="288"/>
      <c r="B26" s="288"/>
      <c r="C26" s="288"/>
      <c r="D26" s="288"/>
      <c r="E26" s="288"/>
    </row>
  </sheetData>
  <sheetProtection algorithmName="SHA-512" hashValue="aJvlj2gWJb1i8rnQek/JdLYRzEwlR3haNrWSPrlqiF+44JFt9WjzHqcqZi0Nfz1VkZAFAPTH27/8wcYRFqp+OA==" saltValue="+NKdRnk5C1uq6zxtFDvTFg==" spinCount="100000" sheet="1" objects="1" scenarios="1" formatCells="0" deleteRows="0"/>
  <mergeCells count="52">
    <mergeCell ref="O6:W6"/>
    <mergeCell ref="O8:W10"/>
    <mergeCell ref="O11:W12"/>
    <mergeCell ref="I25:J25"/>
    <mergeCell ref="I19:J19"/>
    <mergeCell ref="I20:J20"/>
    <mergeCell ref="I21:J21"/>
    <mergeCell ref="I22:J22"/>
    <mergeCell ref="I23:J23"/>
    <mergeCell ref="A7:H7"/>
    <mergeCell ref="I8:J8"/>
    <mergeCell ref="A24:E24"/>
    <mergeCell ref="A25:E25"/>
    <mergeCell ref="I14:J14"/>
    <mergeCell ref="I15:J15"/>
    <mergeCell ref="I16:J16"/>
    <mergeCell ref="I17:J17"/>
    <mergeCell ref="I18:J18"/>
    <mergeCell ref="I9:J9"/>
    <mergeCell ref="I10:J10"/>
    <mergeCell ref="I11:J11"/>
    <mergeCell ref="I12:J12"/>
    <mergeCell ref="I13:J13"/>
    <mergeCell ref="A12:E12"/>
    <mergeCell ref="I24:J24"/>
    <mergeCell ref="A26:E26"/>
    <mergeCell ref="A19:E19"/>
    <mergeCell ref="A20:E20"/>
    <mergeCell ref="A21:E21"/>
    <mergeCell ref="A22:E22"/>
    <mergeCell ref="A23:E23"/>
    <mergeCell ref="I1:AA1"/>
    <mergeCell ref="A1:F1"/>
    <mergeCell ref="A2:B2"/>
    <mergeCell ref="A3:B3"/>
    <mergeCell ref="A4:B4"/>
    <mergeCell ref="A18:E18"/>
    <mergeCell ref="I2:AA2"/>
    <mergeCell ref="I3:AA3"/>
    <mergeCell ref="I4:AA4"/>
    <mergeCell ref="I5:AA5"/>
    <mergeCell ref="A13:E13"/>
    <mergeCell ref="A14:E14"/>
    <mergeCell ref="A15:E15"/>
    <mergeCell ref="A16:E16"/>
    <mergeCell ref="A17:E17"/>
    <mergeCell ref="A5:B5"/>
    <mergeCell ref="A8:E8"/>
    <mergeCell ref="A9:E9"/>
    <mergeCell ref="A10:E10"/>
    <mergeCell ref="A11:E11"/>
    <mergeCell ref="A6:E6"/>
  </mergeCells>
  <conditionalFormatting sqref="F8:F25">
    <cfRule type="containsText" dxfId="13" priority="1" operator="containsText" text="Low">
      <formula>NOT(ISERROR(SEARCH("Low",F8)))</formula>
    </cfRule>
    <cfRule type="containsText" dxfId="12" priority="2" operator="containsText" text="High">
      <formula>NOT(ISERROR(SEARCH("High",F8)))</formula>
    </cfRule>
    <cfRule type="containsText" dxfId="11" priority="3" operator="containsText" text="Medium">
      <formula>NOT(ISERROR(SEARCH("Medium",F8)))</formula>
    </cfRule>
    <cfRule type="containsText" dxfId="10" priority="4" operator="containsText" text="High">
      <formula>NOT(ISERROR(SEARCH("High",F8)))</formula>
    </cfRule>
    <cfRule type="containsText" dxfId="9" priority="5" operator="containsText" text="Medium">
      <formula>NOT(ISERROR(SEARCH("Medium",F8)))</formula>
    </cfRule>
    <cfRule type="containsText" dxfId="7" priority="7" operator="containsText" text="Medium">
      <formula>NOT(ISERROR(SEARCH("Medium",F8)))</formula>
    </cfRule>
    <cfRule type="containsText" dxfId="6" priority="8" operator="containsText" text="High; Medium; Low">
      <formula>NOT(ISERROR(SEARCH("High; Medium; Low",F8)))</formula>
    </cfRule>
  </conditionalFormatting>
  <dataValidations count="2">
    <dataValidation type="list" allowBlank="1" showInputMessage="1" showErrorMessage="1" sqref="G8:G25" xr:uid="{45E52AF2-1FCB-44B6-8358-56C414393A59}">
      <formula1>"Ongoing, Stand-by, Completed"</formula1>
    </dataValidation>
    <dataValidation type="list" allowBlank="1" showInputMessage="1" showErrorMessage="1" sqref="F8:F25" xr:uid="{1EA756DE-4967-4435-8121-42F2CA2C4C55}">
      <formula1>"High, Medium, Low"</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6" operator="containsText" id="{D59D62A6-B8C5-4DE3-8EBD-C1735B373D72}">
            <xm:f>NOT(ISERROR(SEARCH(High,F8)))</xm:f>
            <xm:f>High</xm:f>
            <x14:dxf>
              <font>
                <b val="0"/>
                <i val="0"/>
                <color theme="3" tint="-0.24994659260841701"/>
              </font>
              <fill>
                <patternFill>
                  <fgColor theme="4" tint="0.39994506668294322"/>
                  <bgColor theme="4" tint="0.59996337778862885"/>
                </patternFill>
              </fill>
            </x14:dxf>
          </x14:cfRule>
          <xm:sqref>F8:F25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8DB4-DA5F-4D84-B146-7B362D28829D}">
  <sheetPr codeName="Foglio5">
    <tabColor theme="8" tint="0.39997558519241921"/>
  </sheetPr>
  <dimension ref="A1:Z34"/>
  <sheetViews>
    <sheetView showGridLines="0" zoomScale="102" zoomScaleNormal="99" workbookViewId="0">
      <selection activeCell="M8" sqref="M8"/>
    </sheetView>
  </sheetViews>
  <sheetFormatPr defaultColWidth="9.140625" defaultRowHeight="15" x14ac:dyDescent="0.25"/>
  <cols>
    <col min="1" max="1" width="9.140625" style="32"/>
    <col min="2" max="8" width="11.140625" style="32" customWidth="1"/>
    <col min="9" max="17" width="9.140625" style="32"/>
    <col min="18" max="18" width="10.140625" style="32" customWidth="1"/>
    <col min="19" max="19" width="9.140625" style="32"/>
    <col min="20" max="20" width="10.28515625" style="32" customWidth="1"/>
    <col min="21" max="26" width="9.140625" style="32"/>
    <col min="27" max="27" width="10.140625" style="32" bestFit="1" customWidth="1"/>
    <col min="28" max="16384" width="9.140625" style="32"/>
  </cols>
  <sheetData>
    <row r="1" spans="1:26" ht="30.75" customHeight="1" thickBot="1" x14ac:dyDescent="0.3">
      <c r="B1" s="315" t="s">
        <v>89</v>
      </c>
      <c r="C1" s="316"/>
      <c r="D1" s="316"/>
      <c r="E1" s="316"/>
      <c r="F1" s="316"/>
      <c r="G1" s="316"/>
      <c r="H1" s="317"/>
      <c r="I1" s="313" t="s">
        <v>217</v>
      </c>
      <c r="J1" s="314"/>
      <c r="K1" s="314"/>
      <c r="L1" s="314"/>
      <c r="M1" s="314"/>
      <c r="N1" s="314"/>
      <c r="O1" s="314"/>
      <c r="P1" s="314"/>
      <c r="Q1" s="314"/>
      <c r="R1" s="314"/>
      <c r="S1" s="314"/>
      <c r="T1" s="314"/>
      <c r="U1" s="314"/>
    </row>
    <row r="2" spans="1:26" ht="30.75" customHeight="1" x14ac:dyDescent="0.25">
      <c r="A2" s="31" t="s">
        <v>215</v>
      </c>
      <c r="B2" s="27">
        <v>1</v>
      </c>
      <c r="C2" s="27">
        <v>2</v>
      </c>
      <c r="D2" s="27">
        <v>3</v>
      </c>
      <c r="E2" s="27">
        <v>4</v>
      </c>
      <c r="F2" s="27">
        <v>5</v>
      </c>
      <c r="G2" s="27">
        <v>6</v>
      </c>
      <c r="H2" s="27">
        <v>7</v>
      </c>
      <c r="I2" s="31" t="s">
        <v>214</v>
      </c>
      <c r="J2" s="128">
        <v>2026</v>
      </c>
      <c r="K2" s="128">
        <v>2026</v>
      </c>
      <c r="L2" s="128">
        <v>2026</v>
      </c>
      <c r="M2" s="128">
        <v>2026</v>
      </c>
      <c r="N2" s="128">
        <v>2026</v>
      </c>
      <c r="O2" s="128">
        <v>2026</v>
      </c>
      <c r="P2" s="128">
        <v>2026</v>
      </c>
      <c r="Q2" s="128">
        <v>2026</v>
      </c>
      <c r="R2" s="128">
        <v>2026</v>
      </c>
      <c r="S2" s="128">
        <v>2026</v>
      </c>
      <c r="T2" s="128">
        <v>2026</v>
      </c>
      <c r="U2" s="128">
        <v>2026</v>
      </c>
    </row>
    <row r="3" spans="1:26" ht="30.75" customHeight="1" thickBot="1" x14ac:dyDescent="0.3">
      <c r="I3" s="33"/>
      <c r="J3" s="28" t="s">
        <v>67</v>
      </c>
      <c r="K3" s="28" t="s">
        <v>68</v>
      </c>
      <c r="L3" s="28" t="s">
        <v>69</v>
      </c>
      <c r="M3" s="28" t="s">
        <v>70</v>
      </c>
      <c r="N3" s="28" t="s">
        <v>71</v>
      </c>
      <c r="O3" s="28" t="s">
        <v>72</v>
      </c>
      <c r="P3" s="28" t="s">
        <v>73</v>
      </c>
      <c r="Q3" s="28" t="s">
        <v>74</v>
      </c>
      <c r="R3" s="28" t="s">
        <v>75</v>
      </c>
      <c r="S3" s="28" t="s">
        <v>76</v>
      </c>
      <c r="T3" s="28" t="s">
        <v>77</v>
      </c>
      <c r="U3" s="28" t="s">
        <v>78</v>
      </c>
      <c r="V3" s="33"/>
    </row>
    <row r="4" spans="1:26" ht="30.75" customHeight="1" x14ac:dyDescent="0.25">
      <c r="B4" s="300" t="s">
        <v>79</v>
      </c>
      <c r="C4" s="300"/>
      <c r="D4" s="300"/>
      <c r="E4" s="300"/>
      <c r="F4" s="300"/>
      <c r="G4" s="300"/>
      <c r="H4" s="300"/>
      <c r="I4" s="309"/>
      <c r="J4" s="127"/>
      <c r="K4" s="127"/>
      <c r="L4" s="127"/>
      <c r="M4" s="127"/>
      <c r="N4" s="127"/>
      <c r="O4" s="127"/>
      <c r="P4" s="127"/>
      <c r="Q4" s="127"/>
      <c r="R4" s="127"/>
      <c r="S4" s="127"/>
      <c r="T4" s="127"/>
      <c r="U4" s="127"/>
      <c r="V4" s="310"/>
      <c r="W4" s="30" t="s">
        <v>23</v>
      </c>
      <c r="X4" s="1">
        <v>5</v>
      </c>
      <c r="Y4" s="311" t="s">
        <v>29</v>
      </c>
      <c r="Z4" s="312"/>
    </row>
    <row r="5" spans="1:26" ht="30.75" customHeight="1" x14ac:dyDescent="0.25">
      <c r="B5" s="300" t="s">
        <v>80</v>
      </c>
      <c r="C5" s="300"/>
      <c r="D5" s="300"/>
      <c r="E5" s="300"/>
      <c r="F5" s="300"/>
      <c r="G5" s="300"/>
      <c r="H5" s="300"/>
      <c r="I5" s="309"/>
      <c r="J5" s="127"/>
      <c r="K5" s="127"/>
      <c r="L5" s="127"/>
      <c r="M5" s="127"/>
      <c r="N5" s="127"/>
      <c r="O5" s="127"/>
      <c r="P5" s="127"/>
      <c r="Q5" s="127"/>
      <c r="R5" s="127"/>
      <c r="S5" s="127"/>
      <c r="T5" s="127"/>
      <c r="U5" s="127"/>
      <c r="V5" s="310"/>
      <c r="W5" s="30" t="s">
        <v>24</v>
      </c>
      <c r="X5" s="1">
        <v>4</v>
      </c>
      <c r="Y5" s="312" t="s">
        <v>30</v>
      </c>
      <c r="Z5" s="312"/>
    </row>
    <row r="6" spans="1:26" ht="30.75" customHeight="1" x14ac:dyDescent="0.25">
      <c r="B6" s="300" t="s">
        <v>81</v>
      </c>
      <c r="C6" s="300"/>
      <c r="D6" s="300"/>
      <c r="E6" s="300"/>
      <c r="F6" s="300"/>
      <c r="G6" s="300"/>
      <c r="H6" s="300"/>
      <c r="I6" s="309"/>
      <c r="J6" s="127"/>
      <c r="K6" s="127"/>
      <c r="L6" s="127"/>
      <c r="M6" s="127"/>
      <c r="N6" s="127"/>
      <c r="O6" s="127"/>
      <c r="P6" s="127"/>
      <c r="Q6" s="127"/>
      <c r="R6" s="127"/>
      <c r="S6" s="127"/>
      <c r="T6" s="127"/>
      <c r="U6" s="127"/>
      <c r="V6" s="310"/>
      <c r="W6" s="30" t="s">
        <v>25</v>
      </c>
      <c r="X6" s="1">
        <v>3</v>
      </c>
      <c r="Y6" s="312" t="s">
        <v>31</v>
      </c>
      <c r="Z6" s="312"/>
    </row>
    <row r="7" spans="1:26" ht="30.75" customHeight="1" x14ac:dyDescent="0.25">
      <c r="B7" s="300" t="s">
        <v>82</v>
      </c>
      <c r="C7" s="300"/>
      <c r="D7" s="300"/>
      <c r="E7" s="300"/>
      <c r="F7" s="300"/>
      <c r="G7" s="300"/>
      <c r="H7" s="300"/>
      <c r="I7" s="309"/>
      <c r="J7" s="127"/>
      <c r="K7" s="127"/>
      <c r="L7" s="127"/>
      <c r="M7" s="127"/>
      <c r="N7" s="127"/>
      <c r="O7" s="127"/>
      <c r="P7" s="127"/>
      <c r="Q7" s="127"/>
      <c r="R7" s="127"/>
      <c r="S7" s="127"/>
      <c r="T7" s="127"/>
      <c r="U7" s="127"/>
      <c r="V7" s="310"/>
      <c r="W7" s="30" t="s">
        <v>26</v>
      </c>
      <c r="X7" s="1">
        <v>2</v>
      </c>
      <c r="Y7" s="312" t="s">
        <v>32</v>
      </c>
      <c r="Z7" s="312"/>
    </row>
    <row r="8" spans="1:26" ht="30.75" customHeight="1" x14ac:dyDescent="0.25">
      <c r="B8" s="300" t="s">
        <v>83</v>
      </c>
      <c r="C8" s="300"/>
      <c r="D8" s="300"/>
      <c r="E8" s="300"/>
      <c r="F8" s="300"/>
      <c r="G8" s="300"/>
      <c r="H8" s="300"/>
      <c r="I8" s="309"/>
      <c r="J8" s="127"/>
      <c r="K8" s="127"/>
      <c r="L8" s="127"/>
      <c r="M8" s="127"/>
      <c r="N8" s="127"/>
      <c r="O8" s="127"/>
      <c r="P8" s="127"/>
      <c r="Q8" s="127"/>
      <c r="R8" s="127"/>
      <c r="S8" s="127"/>
      <c r="T8" s="127"/>
      <c r="U8" s="127"/>
      <c r="V8" s="310"/>
      <c r="W8" s="30" t="s">
        <v>27</v>
      </c>
      <c r="X8" s="1">
        <v>1</v>
      </c>
      <c r="Y8" s="312" t="s">
        <v>33</v>
      </c>
      <c r="Z8" s="312"/>
    </row>
    <row r="9" spans="1:26" ht="30.75" customHeight="1" x14ac:dyDescent="0.25">
      <c r="B9" s="300" t="s">
        <v>84</v>
      </c>
      <c r="C9" s="300"/>
      <c r="D9" s="300"/>
      <c r="E9" s="300"/>
      <c r="F9" s="300"/>
      <c r="G9" s="300"/>
      <c r="H9" s="300"/>
      <c r="I9" s="309"/>
      <c r="J9" s="127"/>
      <c r="K9" s="127"/>
      <c r="L9" s="127"/>
      <c r="M9" s="127"/>
      <c r="N9" s="127"/>
      <c r="O9" s="127"/>
      <c r="P9" s="127"/>
      <c r="Q9" s="127"/>
      <c r="R9" s="127"/>
      <c r="S9" s="127"/>
      <c r="T9" s="127"/>
      <c r="U9" s="127"/>
      <c r="V9" s="310"/>
    </row>
    <row r="10" spans="1:26" ht="30.75" customHeight="1" x14ac:dyDescent="0.25">
      <c r="B10" s="300" t="s">
        <v>85</v>
      </c>
      <c r="C10" s="300"/>
      <c r="D10" s="300"/>
      <c r="E10" s="300"/>
      <c r="F10" s="300"/>
      <c r="G10" s="300"/>
      <c r="H10" s="300"/>
      <c r="I10" s="309"/>
      <c r="J10" s="127"/>
      <c r="K10" s="127"/>
      <c r="L10" s="127"/>
      <c r="M10" s="127"/>
      <c r="N10" s="127"/>
      <c r="O10" s="127"/>
      <c r="P10" s="127"/>
      <c r="Q10" s="127"/>
      <c r="R10" s="127"/>
      <c r="S10" s="127"/>
      <c r="T10" s="127"/>
      <c r="U10" s="127"/>
      <c r="V10" s="310"/>
    </row>
    <row r="11" spans="1:26" ht="30.75" customHeight="1" x14ac:dyDescent="0.25">
      <c r="B11" s="300" t="s">
        <v>86</v>
      </c>
      <c r="C11" s="300"/>
      <c r="D11" s="300"/>
      <c r="E11" s="300"/>
      <c r="F11" s="300"/>
      <c r="G11" s="300"/>
      <c r="H11" s="300"/>
      <c r="I11" s="309"/>
      <c r="J11" s="127"/>
      <c r="K11" s="127"/>
      <c r="L11" s="127"/>
      <c r="M11" s="127"/>
      <c r="N11" s="127"/>
      <c r="O11" s="127"/>
      <c r="P11" s="127"/>
      <c r="Q11" s="127"/>
      <c r="R11" s="127"/>
      <c r="S11" s="127"/>
      <c r="T11" s="127"/>
      <c r="U11" s="127"/>
      <c r="V11" s="310"/>
    </row>
    <row r="12" spans="1:26" ht="30.75" customHeight="1" x14ac:dyDescent="0.25">
      <c r="B12" s="300" t="s">
        <v>87</v>
      </c>
      <c r="C12" s="300"/>
      <c r="D12" s="300"/>
      <c r="E12" s="300"/>
      <c r="F12" s="300"/>
      <c r="G12" s="300"/>
      <c r="H12" s="300"/>
      <c r="I12" s="309"/>
      <c r="J12" s="127"/>
      <c r="K12" s="127"/>
      <c r="L12" s="127"/>
      <c r="M12" s="127"/>
      <c r="N12" s="127"/>
      <c r="O12" s="127"/>
      <c r="P12" s="127"/>
      <c r="Q12" s="127"/>
      <c r="R12" s="127"/>
      <c r="S12" s="127"/>
      <c r="T12" s="127"/>
      <c r="U12" s="127"/>
      <c r="V12" s="310"/>
    </row>
    <row r="13" spans="1:26" ht="30.75" customHeight="1" x14ac:dyDescent="0.25">
      <c r="B13" s="300" t="s">
        <v>88</v>
      </c>
      <c r="C13" s="300"/>
      <c r="D13" s="300"/>
      <c r="E13" s="300"/>
      <c r="F13" s="300"/>
      <c r="G13" s="300"/>
      <c r="H13" s="300"/>
      <c r="I13" s="309"/>
      <c r="J13" s="127"/>
      <c r="K13" s="127"/>
      <c r="L13" s="127"/>
      <c r="M13" s="127"/>
      <c r="N13" s="127"/>
      <c r="O13" s="127"/>
      <c r="P13" s="127"/>
      <c r="Q13" s="127"/>
      <c r="R13" s="127"/>
      <c r="S13" s="127"/>
      <c r="T13" s="127"/>
      <c r="U13" s="127"/>
      <c r="V13" s="310"/>
    </row>
    <row r="14" spans="1:26" ht="30.75" customHeight="1" thickBot="1" x14ac:dyDescent="0.3">
      <c r="I14" s="33"/>
      <c r="J14" s="29">
        <f>SUM(J4:J13)</f>
        <v>0</v>
      </c>
      <c r="K14" s="29">
        <f t="shared" ref="K14:U14" si="0">SUM(K4:K13)</f>
        <v>0</v>
      </c>
      <c r="L14" s="29">
        <f t="shared" si="0"/>
        <v>0</v>
      </c>
      <c r="M14" s="29">
        <f t="shared" si="0"/>
        <v>0</v>
      </c>
      <c r="N14" s="29">
        <f t="shared" si="0"/>
        <v>0</v>
      </c>
      <c r="O14" s="29">
        <f t="shared" si="0"/>
        <v>0</v>
      </c>
      <c r="P14" s="29">
        <f t="shared" si="0"/>
        <v>0</v>
      </c>
      <c r="Q14" s="29">
        <f t="shared" si="0"/>
        <v>0</v>
      </c>
      <c r="R14" s="29">
        <f t="shared" si="0"/>
        <v>0</v>
      </c>
      <c r="S14" s="29">
        <f t="shared" si="0"/>
        <v>0</v>
      </c>
      <c r="T14" s="29">
        <f t="shared" si="0"/>
        <v>0</v>
      </c>
      <c r="U14" s="29">
        <f t="shared" si="0"/>
        <v>0</v>
      </c>
      <c r="V14" s="33"/>
    </row>
    <row r="15" spans="1:26" ht="30.75" customHeight="1" thickTop="1" x14ac:dyDescent="0.25">
      <c r="I15" s="1" t="s">
        <v>28</v>
      </c>
      <c r="J15" s="1" cm="1">
        <f t="array" ref="J15">_xlfn.IFS(J14&lt;=19,$X$8,J14&lt;=39,$X$7,J14&lt;=49,$X$6,J14&lt;=59,$X$5,J14&lt;=70,$X$4)</f>
        <v>1</v>
      </c>
      <c r="K15" s="1" cm="1">
        <f t="array" ref="K15">_xlfn.IFS(K14&lt;=19,$X$8,K14&lt;=39,$X$7,K14&lt;=49,$X$6,K14&lt;=59,$X$5,K14&lt;=70,$X$4)</f>
        <v>1</v>
      </c>
      <c r="L15" s="1" cm="1">
        <f t="array" ref="L15">_xlfn.IFS(L14&lt;=19,$X$8,L14&lt;=39,$X$7,L14&lt;=49,$X$6,L14&lt;=59,$X$5,L14&lt;=70,$X$4)</f>
        <v>1</v>
      </c>
      <c r="M15" s="1" cm="1">
        <f t="array" ref="M15">_xlfn.IFS(M14&lt;=19,$X$8,M14&lt;=39,$X$7,M14&lt;=49,$X$6,M14&lt;=59,$X$5,M14&lt;=70,$X$4)</f>
        <v>1</v>
      </c>
      <c r="N15" s="1" cm="1">
        <f t="array" ref="N15">_xlfn.IFS(N14&lt;=19,$X$8,N14&lt;=39,$X$7,N14&lt;=49,$X$6,N14&lt;=59,$X$5,N14&lt;=70,$X$4)</f>
        <v>1</v>
      </c>
      <c r="O15" s="1" cm="1">
        <f t="array" ref="O15">_xlfn.IFS(O14&lt;=19,$X$8,O14&lt;=39,$X$7,O14&lt;=49,$X$6,O14&lt;=59,$X$5,O14&lt;=70,$X$4)</f>
        <v>1</v>
      </c>
      <c r="P15" s="1" cm="1">
        <f t="array" ref="P15">_xlfn.IFS(P14&lt;=19,$X$8,P14&lt;=39,$X$7,P14&lt;=49,$X$6,P14&lt;=59,$X$5,P14&lt;=70,$X$4)</f>
        <v>1</v>
      </c>
      <c r="Q15" s="1" cm="1">
        <f t="array" ref="Q15">_xlfn.IFS(Q14&lt;=19,$X$8,Q14&lt;=39,$X$7,Q14&lt;=49,$X$6,Q14&lt;=59,$X$5,Q14&lt;=70,$X$4)</f>
        <v>1</v>
      </c>
      <c r="R15" s="1" cm="1">
        <f t="array" ref="R15">_xlfn.IFS(R14&lt;=19,$X$8,R14&lt;=39,$X$7,R14&lt;=49,$X$6,R14&lt;=59,$X$5,R14&lt;=70,$X$4)</f>
        <v>1</v>
      </c>
      <c r="S15" s="1" cm="1">
        <f t="array" ref="S15">_xlfn.IFS(S14&lt;=19,$X$8,S14&lt;=39,$X$7,S14&lt;=49,$X$6,S14&lt;=59,$X$5,S14&lt;=70,$X$4)</f>
        <v>1</v>
      </c>
      <c r="T15" s="1" cm="1">
        <f t="array" ref="T15">_xlfn.IFS(T14&lt;=19,$X$8,T14&lt;=39,$X$7,T14&lt;=49,$X$6,T14&lt;=59,$X$5,T14&lt;=70,$X$4)</f>
        <v>1</v>
      </c>
      <c r="U15" s="1" cm="1">
        <f t="array" ref="U15">_xlfn.IFS(U14&lt;=19,$X$8,U14&lt;=39,$X$7,U14&lt;=49,$X$6,U14&lt;=59,$X$5,U14&lt;=70,$X$4)</f>
        <v>1</v>
      </c>
    </row>
    <row r="16" spans="1:26" ht="15.75" thickBot="1" x14ac:dyDescent="0.3"/>
    <row r="17" spans="2:26" ht="15.75" customHeight="1" thickBot="1" x14ac:dyDescent="0.3">
      <c r="B17" s="301" t="s">
        <v>216</v>
      </c>
      <c r="C17" s="302"/>
      <c r="D17" s="302"/>
      <c r="E17" s="302"/>
      <c r="F17" s="302"/>
      <c r="G17" s="302"/>
      <c r="H17" s="302"/>
      <c r="I17" s="302"/>
      <c r="J17" s="302"/>
      <c r="K17" s="302"/>
      <c r="L17" s="302"/>
      <c r="M17" s="302"/>
      <c r="N17" s="302"/>
      <c r="O17" s="302"/>
      <c r="P17" s="302"/>
      <c r="Q17" s="302"/>
      <c r="R17" s="302"/>
      <c r="S17" s="302"/>
      <c r="T17" s="302"/>
      <c r="U17" s="302"/>
      <c r="V17" s="302"/>
      <c r="W17" s="302"/>
      <c r="X17" s="302"/>
      <c r="Y17" s="302"/>
      <c r="Z17" s="303"/>
    </row>
    <row r="18" spans="2:26" ht="16.5" customHeight="1" thickTop="1" thickBot="1" x14ac:dyDescent="0.3">
      <c r="B18" s="304"/>
      <c r="C18" s="281"/>
      <c r="D18" s="281"/>
      <c r="E18" s="281"/>
      <c r="F18" s="281"/>
      <c r="G18" s="281"/>
      <c r="H18" s="281"/>
      <c r="I18" s="281"/>
      <c r="J18" s="281"/>
      <c r="K18" s="281"/>
      <c r="L18" s="281"/>
      <c r="M18" s="281"/>
      <c r="N18" s="281"/>
      <c r="O18" s="281"/>
      <c r="P18" s="281"/>
      <c r="Q18" s="281"/>
      <c r="R18" s="281"/>
      <c r="S18" s="281"/>
      <c r="T18" s="281"/>
      <c r="U18" s="281"/>
      <c r="V18" s="281"/>
      <c r="W18" s="281"/>
      <c r="X18" s="281"/>
      <c r="Y18" s="281"/>
      <c r="Z18" s="305"/>
    </row>
    <row r="19" spans="2:26" ht="16.5" customHeight="1" thickTop="1" thickBot="1" x14ac:dyDescent="0.3">
      <c r="B19" s="306"/>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8"/>
    </row>
    <row r="20" spans="2:26" ht="15" customHeight="1" x14ac:dyDescent="0.25">
      <c r="B20" s="318" t="s">
        <v>223</v>
      </c>
      <c r="C20" s="319"/>
      <c r="D20" s="319"/>
      <c r="E20" s="319"/>
      <c r="F20" s="319"/>
      <c r="G20" s="319"/>
      <c r="H20" s="319"/>
      <c r="I20" s="319"/>
      <c r="J20" s="319"/>
      <c r="K20" s="319"/>
      <c r="L20" s="319"/>
      <c r="M20" s="320"/>
      <c r="N20" s="327" t="s">
        <v>222</v>
      </c>
      <c r="O20" s="328"/>
      <c r="P20" s="328"/>
      <c r="Q20" s="328"/>
      <c r="R20" s="328"/>
      <c r="S20" s="328"/>
      <c r="T20" s="328"/>
      <c r="U20" s="328"/>
      <c r="V20" s="328"/>
      <c r="W20" s="328"/>
      <c r="X20" s="328"/>
      <c r="Y20" s="328"/>
      <c r="Z20" s="329"/>
    </row>
    <row r="21" spans="2:26" x14ac:dyDescent="0.25">
      <c r="B21" s="321"/>
      <c r="C21" s="322"/>
      <c r="D21" s="322"/>
      <c r="E21" s="322"/>
      <c r="F21" s="322"/>
      <c r="G21" s="322"/>
      <c r="H21" s="322"/>
      <c r="I21" s="322"/>
      <c r="J21" s="322"/>
      <c r="K21" s="322"/>
      <c r="L21" s="322"/>
      <c r="M21" s="323"/>
      <c r="N21" s="330"/>
      <c r="O21" s="331"/>
      <c r="P21" s="331"/>
      <c r="Q21" s="331"/>
      <c r="R21" s="331"/>
      <c r="S21" s="331"/>
      <c r="T21" s="331"/>
      <c r="U21" s="331"/>
      <c r="V21" s="331"/>
      <c r="W21" s="331"/>
      <c r="X21" s="331"/>
      <c r="Y21" s="331"/>
      <c r="Z21" s="332"/>
    </row>
    <row r="22" spans="2:26" x14ac:dyDescent="0.25">
      <c r="B22" s="321"/>
      <c r="C22" s="322"/>
      <c r="D22" s="322"/>
      <c r="E22" s="322"/>
      <c r="F22" s="322"/>
      <c r="G22" s="322"/>
      <c r="H22" s="322"/>
      <c r="I22" s="322"/>
      <c r="J22" s="322"/>
      <c r="K22" s="322"/>
      <c r="L22" s="322"/>
      <c r="M22" s="323"/>
      <c r="N22" s="330"/>
      <c r="O22" s="331"/>
      <c r="P22" s="331"/>
      <c r="Q22" s="331"/>
      <c r="R22" s="331"/>
      <c r="S22" s="331"/>
      <c r="T22" s="331"/>
      <c r="U22" s="331"/>
      <c r="V22" s="331"/>
      <c r="W22" s="331"/>
      <c r="X22" s="331"/>
      <c r="Y22" s="331"/>
      <c r="Z22" s="332"/>
    </row>
    <row r="23" spans="2:26" x14ac:dyDescent="0.25">
      <c r="B23" s="321"/>
      <c r="C23" s="322"/>
      <c r="D23" s="322"/>
      <c r="E23" s="322"/>
      <c r="F23" s="322"/>
      <c r="G23" s="322"/>
      <c r="H23" s="322"/>
      <c r="I23" s="322"/>
      <c r="J23" s="322"/>
      <c r="K23" s="322"/>
      <c r="L23" s="322"/>
      <c r="M23" s="323"/>
      <c r="N23" s="330"/>
      <c r="O23" s="331"/>
      <c r="P23" s="331"/>
      <c r="Q23" s="331"/>
      <c r="R23" s="331"/>
      <c r="S23" s="331"/>
      <c r="T23" s="331"/>
      <c r="U23" s="331"/>
      <c r="V23" s="331"/>
      <c r="W23" s="331"/>
      <c r="X23" s="331"/>
      <c r="Y23" s="331"/>
      <c r="Z23" s="332"/>
    </row>
    <row r="24" spans="2:26" x14ac:dyDescent="0.25">
      <c r="B24" s="321"/>
      <c r="C24" s="322"/>
      <c r="D24" s="322"/>
      <c r="E24" s="322"/>
      <c r="F24" s="322"/>
      <c r="G24" s="322"/>
      <c r="H24" s="322"/>
      <c r="I24" s="322"/>
      <c r="J24" s="322"/>
      <c r="K24" s="322"/>
      <c r="L24" s="322"/>
      <c r="M24" s="323"/>
      <c r="N24" s="330"/>
      <c r="O24" s="331"/>
      <c r="P24" s="331"/>
      <c r="Q24" s="331"/>
      <c r="R24" s="331"/>
      <c r="S24" s="331"/>
      <c r="T24" s="331"/>
      <c r="U24" s="331"/>
      <c r="V24" s="331"/>
      <c r="W24" s="331"/>
      <c r="X24" s="331"/>
      <c r="Y24" s="331"/>
      <c r="Z24" s="332"/>
    </row>
    <row r="25" spans="2:26" x14ac:dyDescent="0.25">
      <c r="B25" s="321"/>
      <c r="C25" s="322"/>
      <c r="D25" s="322"/>
      <c r="E25" s="322"/>
      <c r="F25" s="322"/>
      <c r="G25" s="322"/>
      <c r="H25" s="322"/>
      <c r="I25" s="322"/>
      <c r="J25" s="322"/>
      <c r="K25" s="322"/>
      <c r="L25" s="322"/>
      <c r="M25" s="323"/>
      <c r="N25" s="330"/>
      <c r="O25" s="331"/>
      <c r="P25" s="331"/>
      <c r="Q25" s="331"/>
      <c r="R25" s="331"/>
      <c r="S25" s="331"/>
      <c r="T25" s="331"/>
      <c r="U25" s="331"/>
      <c r="V25" s="331"/>
      <c r="W25" s="331"/>
      <c r="X25" s="331"/>
      <c r="Y25" s="331"/>
      <c r="Z25" s="332"/>
    </row>
    <row r="26" spans="2:26" x14ac:dyDescent="0.25">
      <c r="B26" s="321"/>
      <c r="C26" s="322"/>
      <c r="D26" s="322"/>
      <c r="E26" s="322"/>
      <c r="F26" s="322"/>
      <c r="G26" s="322"/>
      <c r="H26" s="322"/>
      <c r="I26" s="322"/>
      <c r="J26" s="322"/>
      <c r="K26" s="322"/>
      <c r="L26" s="322"/>
      <c r="M26" s="323"/>
      <c r="N26" s="330"/>
      <c r="O26" s="331"/>
      <c r="P26" s="331"/>
      <c r="Q26" s="331"/>
      <c r="R26" s="331"/>
      <c r="S26" s="331"/>
      <c r="T26" s="331"/>
      <c r="U26" s="331"/>
      <c r="V26" s="331"/>
      <c r="W26" s="331"/>
      <c r="X26" s="331"/>
      <c r="Y26" s="331"/>
      <c r="Z26" s="332"/>
    </row>
    <row r="27" spans="2:26" x14ac:dyDescent="0.25">
      <c r="B27" s="321"/>
      <c r="C27" s="322"/>
      <c r="D27" s="322"/>
      <c r="E27" s="322"/>
      <c r="F27" s="322"/>
      <c r="G27" s="322"/>
      <c r="H27" s="322"/>
      <c r="I27" s="322"/>
      <c r="J27" s="322"/>
      <c r="K27" s="322"/>
      <c r="L27" s="322"/>
      <c r="M27" s="323"/>
      <c r="N27" s="330"/>
      <c r="O27" s="331"/>
      <c r="P27" s="331"/>
      <c r="Q27" s="331"/>
      <c r="R27" s="331"/>
      <c r="S27" s="331"/>
      <c r="T27" s="331"/>
      <c r="U27" s="331"/>
      <c r="V27" s="331"/>
      <c r="W27" s="331"/>
      <c r="X27" s="331"/>
      <c r="Y27" s="331"/>
      <c r="Z27" s="332"/>
    </row>
    <row r="28" spans="2:26" x14ac:dyDescent="0.25">
      <c r="B28" s="321"/>
      <c r="C28" s="322"/>
      <c r="D28" s="322"/>
      <c r="E28" s="322"/>
      <c r="F28" s="322"/>
      <c r="G28" s="322"/>
      <c r="H28" s="322"/>
      <c r="I28" s="322"/>
      <c r="J28" s="322"/>
      <c r="K28" s="322"/>
      <c r="L28" s="322"/>
      <c r="M28" s="323"/>
      <c r="N28" s="330"/>
      <c r="O28" s="331"/>
      <c r="P28" s="331"/>
      <c r="Q28" s="331"/>
      <c r="R28" s="331"/>
      <c r="S28" s="331"/>
      <c r="T28" s="331"/>
      <c r="U28" s="331"/>
      <c r="V28" s="331"/>
      <c r="W28" s="331"/>
      <c r="X28" s="331"/>
      <c r="Y28" s="331"/>
      <c r="Z28" s="332"/>
    </row>
    <row r="29" spans="2:26" x14ac:dyDescent="0.25">
      <c r="B29" s="321"/>
      <c r="C29" s="322"/>
      <c r="D29" s="322"/>
      <c r="E29" s="322"/>
      <c r="F29" s="322"/>
      <c r="G29" s="322"/>
      <c r="H29" s="322"/>
      <c r="I29" s="322"/>
      <c r="J29" s="322"/>
      <c r="K29" s="322"/>
      <c r="L29" s="322"/>
      <c r="M29" s="323"/>
      <c r="N29" s="330"/>
      <c r="O29" s="331"/>
      <c r="P29" s="331"/>
      <c r="Q29" s="331"/>
      <c r="R29" s="331"/>
      <c r="S29" s="331"/>
      <c r="T29" s="331"/>
      <c r="U29" s="331"/>
      <c r="V29" s="331"/>
      <c r="W29" s="331"/>
      <c r="X29" s="331"/>
      <c r="Y29" s="331"/>
      <c r="Z29" s="332"/>
    </row>
    <row r="30" spans="2:26" x14ac:dyDescent="0.25">
      <c r="B30" s="321"/>
      <c r="C30" s="322"/>
      <c r="D30" s="322"/>
      <c r="E30" s="322"/>
      <c r="F30" s="322"/>
      <c r="G30" s="322"/>
      <c r="H30" s="322"/>
      <c r="I30" s="322"/>
      <c r="J30" s="322"/>
      <c r="K30" s="322"/>
      <c r="L30" s="322"/>
      <c r="M30" s="323"/>
      <c r="N30" s="330"/>
      <c r="O30" s="331"/>
      <c r="P30" s="331"/>
      <c r="Q30" s="331"/>
      <c r="R30" s="331"/>
      <c r="S30" s="331"/>
      <c r="T30" s="331"/>
      <c r="U30" s="331"/>
      <c r="V30" s="331"/>
      <c r="W30" s="331"/>
      <c r="X30" s="331"/>
      <c r="Y30" s="331"/>
      <c r="Z30" s="332"/>
    </row>
    <row r="31" spans="2:26" x14ac:dyDescent="0.25">
      <c r="B31" s="321"/>
      <c r="C31" s="322"/>
      <c r="D31" s="322"/>
      <c r="E31" s="322"/>
      <c r="F31" s="322"/>
      <c r="G31" s="322"/>
      <c r="H31" s="322"/>
      <c r="I31" s="322"/>
      <c r="J31" s="322"/>
      <c r="K31" s="322"/>
      <c r="L31" s="322"/>
      <c r="M31" s="323"/>
      <c r="N31" s="330"/>
      <c r="O31" s="331"/>
      <c r="P31" s="331"/>
      <c r="Q31" s="331"/>
      <c r="R31" s="331"/>
      <c r="S31" s="331"/>
      <c r="T31" s="331"/>
      <c r="U31" s="331"/>
      <c r="V31" s="331"/>
      <c r="W31" s="331"/>
      <c r="X31" s="331"/>
      <c r="Y31" s="331"/>
      <c r="Z31" s="332"/>
    </row>
    <row r="32" spans="2:26" x14ac:dyDescent="0.25">
      <c r="B32" s="321"/>
      <c r="C32" s="322"/>
      <c r="D32" s="322"/>
      <c r="E32" s="322"/>
      <c r="F32" s="322"/>
      <c r="G32" s="322"/>
      <c r="H32" s="322"/>
      <c r="I32" s="322"/>
      <c r="J32" s="322"/>
      <c r="K32" s="322"/>
      <c r="L32" s="322"/>
      <c r="M32" s="323"/>
      <c r="N32" s="330"/>
      <c r="O32" s="331"/>
      <c r="P32" s="331"/>
      <c r="Q32" s="331"/>
      <c r="R32" s="331"/>
      <c r="S32" s="331"/>
      <c r="T32" s="331"/>
      <c r="U32" s="331"/>
      <c r="V32" s="331"/>
      <c r="W32" s="331"/>
      <c r="X32" s="331"/>
      <c r="Y32" s="331"/>
      <c r="Z32" s="332"/>
    </row>
    <row r="33" spans="2:26" x14ac:dyDescent="0.25">
      <c r="B33" s="321"/>
      <c r="C33" s="322"/>
      <c r="D33" s="322"/>
      <c r="E33" s="322"/>
      <c r="F33" s="322"/>
      <c r="G33" s="322"/>
      <c r="H33" s="322"/>
      <c r="I33" s="322"/>
      <c r="J33" s="322"/>
      <c r="K33" s="322"/>
      <c r="L33" s="322"/>
      <c r="M33" s="323"/>
      <c r="N33" s="330"/>
      <c r="O33" s="331"/>
      <c r="P33" s="331"/>
      <c r="Q33" s="331"/>
      <c r="R33" s="331"/>
      <c r="S33" s="331"/>
      <c r="T33" s="331"/>
      <c r="U33" s="331"/>
      <c r="V33" s="331"/>
      <c r="W33" s="331"/>
      <c r="X33" s="331"/>
      <c r="Y33" s="331"/>
      <c r="Z33" s="332"/>
    </row>
    <row r="34" spans="2:26" ht="15.75" thickBot="1" x14ac:dyDescent="0.3">
      <c r="B34" s="324"/>
      <c r="C34" s="325"/>
      <c r="D34" s="325"/>
      <c r="E34" s="325"/>
      <c r="F34" s="325"/>
      <c r="G34" s="325"/>
      <c r="H34" s="325"/>
      <c r="I34" s="325"/>
      <c r="J34" s="325"/>
      <c r="K34" s="325"/>
      <c r="L34" s="325"/>
      <c r="M34" s="326"/>
      <c r="N34" s="333"/>
      <c r="O34" s="334"/>
      <c r="P34" s="334"/>
      <c r="Q34" s="334"/>
      <c r="R34" s="334"/>
      <c r="S34" s="334"/>
      <c r="T34" s="334"/>
      <c r="U34" s="334"/>
      <c r="V34" s="334"/>
      <c r="W34" s="334"/>
      <c r="X34" s="334"/>
      <c r="Y34" s="334"/>
      <c r="Z34" s="335"/>
    </row>
  </sheetData>
  <sheetProtection algorithmName="SHA-512" hashValue="PzJZPMbGsL+o0cfvN4qt+xKqZEDWMnXvowS371n1YJ7NfNS6YIm9sFoiNiqiKB+9djFZcB5QvnV/tgaBRErtug==" saltValue="v3mThJ7d48IRj8b66qA5Eg==" spinCount="100000" sheet="1" objects="1" scenarios="1"/>
  <mergeCells count="22">
    <mergeCell ref="B20:M34"/>
    <mergeCell ref="N20:Z34"/>
    <mergeCell ref="Y8:Z8"/>
    <mergeCell ref="B8:H8"/>
    <mergeCell ref="B9:H9"/>
    <mergeCell ref="B10:H10"/>
    <mergeCell ref="B11:H11"/>
    <mergeCell ref="I1:U1"/>
    <mergeCell ref="B1:H1"/>
    <mergeCell ref="B4:H4"/>
    <mergeCell ref="B5:H5"/>
    <mergeCell ref="B6:H6"/>
    <mergeCell ref="B7:H7"/>
    <mergeCell ref="B17:Z19"/>
    <mergeCell ref="I4:I13"/>
    <mergeCell ref="B12:H12"/>
    <mergeCell ref="B13:H13"/>
    <mergeCell ref="V4:V13"/>
    <mergeCell ref="Y4:Z4"/>
    <mergeCell ref="Y5:Z5"/>
    <mergeCell ref="Y6:Z6"/>
    <mergeCell ref="Y7:Z7"/>
  </mergeCells>
  <phoneticPr fontId="5" type="noConversion"/>
  <conditionalFormatting sqref="B2:H2">
    <cfRule type="colorScale" priority="22">
      <colorScale>
        <cfvo type="min"/>
        <cfvo type="percentile" val="50"/>
        <cfvo type="max"/>
        <color rgb="FFF8696B"/>
        <color rgb="FFFFEB84"/>
        <color rgb="FF63BE7B"/>
      </colorScale>
    </cfRule>
  </conditionalFormatting>
  <conditionalFormatting sqref="J4:U13">
    <cfRule type="colorScale" priority="21">
      <colorScale>
        <cfvo type="min"/>
        <cfvo type="percentile" val="50"/>
        <cfvo type="max"/>
        <color rgb="FFF8696B"/>
        <color rgb="FFFFEB84"/>
        <color rgb="FF63BE7B"/>
      </colorScale>
    </cfRule>
  </conditionalFormatting>
  <conditionalFormatting sqref="J15:U15">
    <cfRule type="colorScale" priority="19">
      <colorScale>
        <cfvo type="min"/>
        <cfvo type="percentile" val="50"/>
        <cfvo type="max"/>
        <color rgb="FFF8696B"/>
        <color rgb="FFFFEB84"/>
        <color rgb="FF63BE7B"/>
      </colorScale>
    </cfRule>
  </conditionalFormatting>
  <conditionalFormatting sqref="X4:X8">
    <cfRule type="colorScale" priority="20">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EC15-BD98-4696-AFB7-83CE86D973D1}">
  <sheetPr codeName="Foglio7">
    <tabColor theme="5" tint="0.39997558519241921"/>
  </sheetPr>
  <dimension ref="A1:R27"/>
  <sheetViews>
    <sheetView showGridLines="0" workbookViewId="0">
      <selection activeCell="B1" sqref="B1:G2"/>
    </sheetView>
  </sheetViews>
  <sheetFormatPr defaultRowHeight="15" x14ac:dyDescent="0.25"/>
  <cols>
    <col min="1" max="1" width="2.85546875" style="1" customWidth="1"/>
    <col min="2" max="3" width="25.85546875" customWidth="1"/>
    <col min="4" max="6" width="15.85546875" customWidth="1"/>
    <col min="7" max="7" width="25.85546875" customWidth="1"/>
    <col min="8" max="9" width="8.85546875"/>
    <col min="10" max="15" width="10.85546875" customWidth="1"/>
  </cols>
  <sheetData>
    <row r="1" spans="2:15" ht="22.5" customHeight="1" x14ac:dyDescent="0.25">
      <c r="B1" s="337" t="s">
        <v>34</v>
      </c>
      <c r="C1" s="337"/>
      <c r="D1" s="337"/>
      <c r="E1" s="337"/>
      <c r="F1" s="337"/>
      <c r="G1" s="337"/>
      <c r="I1" s="340" t="s">
        <v>218</v>
      </c>
      <c r="J1" s="340"/>
      <c r="K1" s="340"/>
      <c r="L1" s="340"/>
      <c r="M1" s="340"/>
      <c r="N1" s="340"/>
      <c r="O1" s="340"/>
    </row>
    <row r="2" spans="2:15" ht="15.75" thickBot="1" x14ac:dyDescent="0.3">
      <c r="B2" s="337"/>
      <c r="C2" s="337"/>
      <c r="D2" s="337"/>
      <c r="E2" s="337"/>
      <c r="F2" s="337"/>
      <c r="G2" s="337"/>
      <c r="I2" s="341"/>
      <c r="J2" s="341"/>
      <c r="K2" s="341"/>
      <c r="L2" s="341"/>
      <c r="M2" s="341"/>
      <c r="N2" s="341"/>
      <c r="O2" s="341"/>
    </row>
    <row r="3" spans="2:15" ht="27" customHeight="1" thickBot="1" x14ac:dyDescent="0.3">
      <c r="B3" s="40"/>
      <c r="C3" s="40"/>
      <c r="D3" s="40"/>
      <c r="E3" s="40"/>
      <c r="F3" s="40"/>
      <c r="G3" s="40"/>
      <c r="I3" s="246" t="s">
        <v>36</v>
      </c>
      <c r="J3" s="247"/>
      <c r="K3" s="247"/>
      <c r="L3" s="247"/>
      <c r="M3" s="247"/>
      <c r="N3" s="247"/>
      <c r="O3" s="336"/>
    </row>
    <row r="4" spans="2:15" ht="30" customHeight="1" thickBot="1" x14ac:dyDescent="0.45">
      <c r="B4" s="178" t="s">
        <v>200</v>
      </c>
      <c r="C4" s="126" t="s">
        <v>37</v>
      </c>
      <c r="D4" s="179" t="s">
        <v>201</v>
      </c>
      <c r="E4" s="126" t="s">
        <v>39</v>
      </c>
      <c r="F4" s="126" t="s">
        <v>28</v>
      </c>
      <c r="G4" s="180" t="s">
        <v>199</v>
      </c>
      <c r="I4" s="250" t="s">
        <v>39</v>
      </c>
      <c r="J4" s="251"/>
      <c r="K4" s="188" t="s">
        <v>40</v>
      </c>
      <c r="L4" s="188" t="s">
        <v>41</v>
      </c>
      <c r="M4" s="188" t="s">
        <v>42</v>
      </c>
      <c r="N4" s="188" t="s">
        <v>43</v>
      </c>
      <c r="O4" s="189" t="s">
        <v>44</v>
      </c>
    </row>
    <row r="5" spans="2:15" ht="30" customHeight="1" x14ac:dyDescent="0.25">
      <c r="B5" s="181"/>
      <c r="C5" s="181"/>
      <c r="D5" s="182"/>
      <c r="E5" s="182"/>
      <c r="F5" s="187" t="str">
        <f t="shared" ref="F5:F19" si="0">IFERROR(INDEX(K$5:O$9,MATCH(D5,J$5:J$9,0),MATCH(E5,K$4:O$4,0)),"")</f>
        <v/>
      </c>
      <c r="G5" s="181"/>
      <c r="I5" s="252" t="s">
        <v>38</v>
      </c>
      <c r="J5" s="190" t="s">
        <v>44</v>
      </c>
      <c r="K5" s="191" t="s">
        <v>45</v>
      </c>
      <c r="L5" s="192" t="s">
        <v>46</v>
      </c>
      <c r="M5" s="192" t="s">
        <v>46</v>
      </c>
      <c r="N5" s="193" t="s">
        <v>47</v>
      </c>
      <c r="O5" s="193" t="s">
        <v>47</v>
      </c>
    </row>
    <row r="6" spans="2:15" ht="30" customHeight="1" x14ac:dyDescent="0.25">
      <c r="B6" s="183"/>
      <c r="C6" s="184"/>
      <c r="D6" s="182"/>
      <c r="E6" s="182"/>
      <c r="F6" s="185" t="str">
        <f t="shared" si="0"/>
        <v/>
      </c>
      <c r="G6" s="183"/>
      <c r="I6" s="253"/>
      <c r="J6" s="190" t="s">
        <v>43</v>
      </c>
      <c r="K6" s="194" t="s">
        <v>48</v>
      </c>
      <c r="L6" s="191" t="s">
        <v>45</v>
      </c>
      <c r="M6" s="192" t="s">
        <v>46</v>
      </c>
      <c r="N6" s="193" t="s">
        <v>47</v>
      </c>
      <c r="O6" s="193" t="s">
        <v>47</v>
      </c>
    </row>
    <row r="7" spans="2:15" ht="30" customHeight="1" x14ac:dyDescent="0.25">
      <c r="B7" s="183"/>
      <c r="C7" s="184"/>
      <c r="D7" s="182"/>
      <c r="E7" s="182"/>
      <c r="F7" s="185" t="str">
        <f t="shared" si="0"/>
        <v/>
      </c>
      <c r="G7" s="183"/>
      <c r="I7" s="253"/>
      <c r="J7" s="190" t="s">
        <v>42</v>
      </c>
      <c r="K7" s="194" t="s">
        <v>48</v>
      </c>
      <c r="L7" s="191" t="s">
        <v>45</v>
      </c>
      <c r="M7" s="191" t="s">
        <v>45</v>
      </c>
      <c r="N7" s="192" t="s">
        <v>46</v>
      </c>
      <c r="O7" s="193" t="s">
        <v>47</v>
      </c>
    </row>
    <row r="8" spans="2:15" ht="30" customHeight="1" x14ac:dyDescent="0.25">
      <c r="B8" s="183"/>
      <c r="C8" s="184"/>
      <c r="D8" s="182"/>
      <c r="E8" s="182"/>
      <c r="F8" s="185" t="str">
        <f t="shared" si="0"/>
        <v/>
      </c>
      <c r="G8" s="183"/>
      <c r="I8" s="253"/>
      <c r="J8" s="190" t="s">
        <v>41</v>
      </c>
      <c r="K8" s="194" t="s">
        <v>48</v>
      </c>
      <c r="L8" s="194" t="s">
        <v>48</v>
      </c>
      <c r="M8" s="191" t="s">
        <v>45</v>
      </c>
      <c r="N8" s="192" t="s">
        <v>46</v>
      </c>
      <c r="O8" s="193" t="s">
        <v>47</v>
      </c>
    </row>
    <row r="9" spans="2:15" ht="30" customHeight="1" thickBot="1" x14ac:dyDescent="0.3">
      <c r="B9" s="186"/>
      <c r="C9" s="184"/>
      <c r="D9" s="182"/>
      <c r="E9" s="182"/>
      <c r="F9" s="185" t="str">
        <f t="shared" si="0"/>
        <v/>
      </c>
      <c r="G9" s="186"/>
      <c r="I9" s="254"/>
      <c r="J9" s="190" t="s">
        <v>40</v>
      </c>
      <c r="K9" s="194" t="s">
        <v>48</v>
      </c>
      <c r="L9" s="194" t="s">
        <v>48</v>
      </c>
      <c r="M9" s="194" t="s">
        <v>48</v>
      </c>
      <c r="N9" s="191" t="s">
        <v>45</v>
      </c>
      <c r="O9" s="192" t="s">
        <v>46</v>
      </c>
    </row>
    <row r="10" spans="2:15" ht="30" customHeight="1" thickBot="1" x14ac:dyDescent="0.3">
      <c r="B10" s="186"/>
      <c r="C10" s="186"/>
      <c r="D10" s="182"/>
      <c r="E10" s="182"/>
      <c r="F10" s="185" t="str">
        <f t="shared" si="0"/>
        <v/>
      </c>
      <c r="G10" s="186"/>
    </row>
    <row r="11" spans="2:15" ht="30" customHeight="1" thickBot="1" x14ac:dyDescent="0.3">
      <c r="B11" s="186"/>
      <c r="C11" s="186"/>
      <c r="D11" s="182"/>
      <c r="E11" s="182"/>
      <c r="F11" s="185" t="str">
        <f t="shared" si="0"/>
        <v/>
      </c>
      <c r="G11" s="186"/>
      <c r="H11" s="39"/>
      <c r="I11" s="246" t="s">
        <v>194</v>
      </c>
      <c r="J11" s="247"/>
      <c r="K11" s="248"/>
      <c r="L11" s="248"/>
      <c r="M11" s="248"/>
      <c r="N11" s="248"/>
      <c r="O11" s="249"/>
    </row>
    <row r="12" spans="2:15" ht="30" customHeight="1" thickBot="1" x14ac:dyDescent="0.45">
      <c r="B12" s="186"/>
      <c r="C12" s="186"/>
      <c r="D12" s="182"/>
      <c r="E12" s="182"/>
      <c r="F12" s="185" t="str">
        <f t="shared" si="0"/>
        <v/>
      </c>
      <c r="G12" s="186"/>
      <c r="H12" s="39"/>
      <c r="I12" s="250" t="s">
        <v>39</v>
      </c>
      <c r="J12" s="251"/>
      <c r="K12" s="84" t="s">
        <v>40</v>
      </c>
      <c r="L12" s="84" t="s">
        <v>41</v>
      </c>
      <c r="M12" s="84" t="s">
        <v>42</v>
      </c>
      <c r="N12" s="84" t="s">
        <v>43</v>
      </c>
      <c r="O12" s="84" t="s">
        <v>44</v>
      </c>
    </row>
    <row r="13" spans="2:15" ht="30" customHeight="1" x14ac:dyDescent="0.25">
      <c r="B13" s="186"/>
      <c r="C13" s="186"/>
      <c r="D13" s="182"/>
      <c r="E13" s="182"/>
      <c r="F13" s="185" t="str">
        <f t="shared" si="0"/>
        <v/>
      </c>
      <c r="G13" s="186"/>
      <c r="H13" s="39"/>
      <c r="I13" s="252" t="s">
        <v>195</v>
      </c>
      <c r="J13" s="26" t="s">
        <v>44</v>
      </c>
      <c r="K13" s="162" t="s">
        <v>45</v>
      </c>
      <c r="L13" s="163" t="s">
        <v>46</v>
      </c>
      <c r="M13" s="163" t="s">
        <v>46</v>
      </c>
      <c r="N13" s="164" t="s">
        <v>47</v>
      </c>
      <c r="O13" s="164" t="s">
        <v>47</v>
      </c>
    </row>
    <row r="14" spans="2:15" ht="30" customHeight="1" x14ac:dyDescent="0.25">
      <c r="B14" s="186"/>
      <c r="C14" s="186"/>
      <c r="D14" s="182"/>
      <c r="E14" s="182"/>
      <c r="F14" s="185" t="str">
        <f t="shared" si="0"/>
        <v/>
      </c>
      <c r="G14" s="186"/>
      <c r="H14" s="39"/>
      <c r="I14" s="253"/>
      <c r="J14" s="26" t="s">
        <v>43</v>
      </c>
      <c r="K14" s="165" t="s">
        <v>48</v>
      </c>
      <c r="L14" s="162" t="s">
        <v>45</v>
      </c>
      <c r="M14" s="163" t="s">
        <v>46</v>
      </c>
      <c r="N14" s="164" t="s">
        <v>47</v>
      </c>
      <c r="O14" s="164" t="s">
        <v>47</v>
      </c>
    </row>
    <row r="15" spans="2:15" ht="30" customHeight="1" x14ac:dyDescent="0.25">
      <c r="B15" s="186"/>
      <c r="C15" s="186"/>
      <c r="D15" s="182"/>
      <c r="E15" s="182"/>
      <c r="F15" s="185" t="str">
        <f t="shared" si="0"/>
        <v/>
      </c>
      <c r="G15" s="186"/>
      <c r="H15" s="39"/>
      <c r="I15" s="253"/>
      <c r="J15" s="26" t="s">
        <v>42</v>
      </c>
      <c r="K15" s="165" t="s">
        <v>48</v>
      </c>
      <c r="L15" s="162" t="s">
        <v>45</v>
      </c>
      <c r="M15" s="162" t="s">
        <v>45</v>
      </c>
      <c r="N15" s="163" t="s">
        <v>46</v>
      </c>
      <c r="O15" s="164" t="s">
        <v>47</v>
      </c>
    </row>
    <row r="16" spans="2:15" ht="30" customHeight="1" x14ac:dyDescent="0.25">
      <c r="B16" s="186"/>
      <c r="C16" s="186"/>
      <c r="D16" s="182"/>
      <c r="E16" s="182"/>
      <c r="F16" s="185" t="str">
        <f t="shared" si="0"/>
        <v/>
      </c>
      <c r="G16" s="186"/>
      <c r="I16" s="253"/>
      <c r="J16" s="26" t="s">
        <v>41</v>
      </c>
      <c r="K16" s="165" t="s">
        <v>48</v>
      </c>
      <c r="L16" s="165" t="s">
        <v>48</v>
      </c>
      <c r="M16" s="162" t="s">
        <v>45</v>
      </c>
      <c r="N16" s="163" t="s">
        <v>46</v>
      </c>
      <c r="O16" s="164" t="s">
        <v>47</v>
      </c>
    </row>
    <row r="17" spans="2:18" ht="30" customHeight="1" thickBot="1" x14ac:dyDescent="0.3">
      <c r="B17" s="186"/>
      <c r="C17" s="186"/>
      <c r="D17" s="182"/>
      <c r="E17" s="182"/>
      <c r="F17" s="185" t="str">
        <f t="shared" si="0"/>
        <v/>
      </c>
      <c r="G17" s="186"/>
      <c r="I17" s="254"/>
      <c r="J17" s="26" t="s">
        <v>40</v>
      </c>
      <c r="K17" s="165" t="s">
        <v>48</v>
      </c>
      <c r="L17" s="165" t="s">
        <v>48</v>
      </c>
      <c r="M17" s="165" t="s">
        <v>48</v>
      </c>
      <c r="N17" s="162" t="s">
        <v>45</v>
      </c>
      <c r="O17" s="163" t="s">
        <v>46</v>
      </c>
    </row>
    <row r="18" spans="2:18" ht="30" customHeight="1" x14ac:dyDescent="0.25">
      <c r="B18" s="186"/>
      <c r="C18" s="186"/>
      <c r="D18" s="182"/>
      <c r="E18" s="182"/>
      <c r="F18" s="185" t="str">
        <f t="shared" si="0"/>
        <v/>
      </c>
      <c r="G18" s="186"/>
    </row>
    <row r="19" spans="2:18" ht="30" customHeight="1" x14ac:dyDescent="0.25">
      <c r="B19" s="186"/>
      <c r="C19" s="186"/>
      <c r="D19" s="182"/>
      <c r="E19" s="182"/>
      <c r="F19" s="185" t="str">
        <f t="shared" si="0"/>
        <v/>
      </c>
      <c r="G19" s="186"/>
      <c r="J19" s="342" t="s">
        <v>213</v>
      </c>
      <c r="K19" s="342"/>
      <c r="L19" s="342"/>
      <c r="M19" s="342"/>
      <c r="N19" s="342"/>
      <c r="O19" s="342"/>
      <c r="P19" s="342"/>
      <c r="Q19" s="342"/>
      <c r="R19" s="342"/>
    </row>
    <row r="20" spans="2:18" ht="37.5" customHeight="1" x14ac:dyDescent="0.25">
      <c r="B20" s="186"/>
      <c r="C20" s="186"/>
      <c r="D20" s="182"/>
      <c r="E20" s="182"/>
      <c r="F20" s="185" t="str">
        <f t="shared" ref="F20:F27" si="1">IFERROR(INDEX(K$5:O$9,MATCH(D20,J$5:J$9,0),MATCH(E20,K$4:O$4,0)),"")</f>
        <v/>
      </c>
      <c r="G20" s="186"/>
      <c r="J20" s="344" t="s">
        <v>226</v>
      </c>
      <c r="K20" s="345"/>
      <c r="L20" s="345"/>
      <c r="M20" s="345"/>
      <c r="N20" s="345"/>
      <c r="O20" s="345"/>
      <c r="P20" s="345"/>
      <c r="Q20" s="345"/>
      <c r="R20" s="346"/>
    </row>
    <row r="21" spans="2:18" ht="30" customHeight="1" x14ac:dyDescent="0.25">
      <c r="B21" s="186"/>
      <c r="C21" s="186"/>
      <c r="D21" s="182"/>
      <c r="E21" s="182"/>
      <c r="F21" s="185" t="str">
        <f t="shared" si="1"/>
        <v/>
      </c>
      <c r="G21" s="186"/>
      <c r="I21" s="177" t="s">
        <v>19</v>
      </c>
      <c r="J21" s="338" t="s">
        <v>207</v>
      </c>
      <c r="K21" s="339"/>
      <c r="L21" s="339"/>
      <c r="M21" s="339"/>
      <c r="N21" s="339"/>
      <c r="O21" s="339"/>
      <c r="P21" s="339"/>
      <c r="Q21" s="339"/>
      <c r="R21" s="339"/>
    </row>
    <row r="22" spans="2:18" ht="30" customHeight="1" x14ac:dyDescent="0.25">
      <c r="B22" s="186"/>
      <c r="C22" s="186"/>
      <c r="D22" s="182"/>
      <c r="E22" s="182"/>
      <c r="F22" s="185" t="str">
        <f t="shared" si="1"/>
        <v/>
      </c>
      <c r="G22" s="186"/>
      <c r="I22" s="177" t="s">
        <v>17</v>
      </c>
      <c r="J22" s="338" t="s">
        <v>208</v>
      </c>
      <c r="K22" s="339"/>
      <c r="L22" s="339"/>
      <c r="M22" s="339"/>
      <c r="N22" s="339"/>
      <c r="O22" s="339"/>
      <c r="P22" s="339"/>
      <c r="Q22" s="339"/>
      <c r="R22" s="339"/>
    </row>
    <row r="23" spans="2:18" ht="39.75" customHeight="1" x14ac:dyDescent="0.25">
      <c r="B23" s="186"/>
      <c r="C23" s="186"/>
      <c r="D23" s="182"/>
      <c r="E23" s="182"/>
      <c r="F23" s="185" t="str">
        <f t="shared" si="1"/>
        <v/>
      </c>
      <c r="G23" s="186"/>
      <c r="I23" s="177" t="s">
        <v>16</v>
      </c>
      <c r="J23" s="338" t="s">
        <v>209</v>
      </c>
      <c r="K23" s="343"/>
      <c r="L23" s="343"/>
      <c r="M23" s="343"/>
      <c r="N23" s="343"/>
      <c r="O23" s="343"/>
      <c r="P23" s="343"/>
      <c r="Q23" s="343"/>
      <c r="R23" s="343"/>
    </row>
    <row r="24" spans="2:18" ht="39.75" customHeight="1" x14ac:dyDescent="0.25">
      <c r="B24" s="186"/>
      <c r="C24" s="186"/>
      <c r="D24" s="182"/>
      <c r="E24" s="182"/>
      <c r="F24" s="185" t="str">
        <f t="shared" si="1"/>
        <v/>
      </c>
      <c r="G24" s="186"/>
      <c r="I24" s="177" t="s">
        <v>18</v>
      </c>
      <c r="J24" s="338" t="s">
        <v>210</v>
      </c>
      <c r="K24" s="339"/>
      <c r="L24" s="339"/>
      <c r="M24" s="339"/>
      <c r="N24" s="339"/>
      <c r="O24" s="339"/>
      <c r="P24" s="339"/>
      <c r="Q24" s="339"/>
      <c r="R24" s="339"/>
    </row>
    <row r="25" spans="2:18" ht="39.75" customHeight="1" x14ac:dyDescent="0.25">
      <c r="B25" s="186"/>
      <c r="C25" s="186"/>
      <c r="D25" s="182"/>
      <c r="E25" s="182"/>
      <c r="F25" s="185" t="str">
        <f t="shared" si="1"/>
        <v/>
      </c>
      <c r="G25" s="186"/>
      <c r="I25" s="177" t="s">
        <v>20</v>
      </c>
      <c r="J25" s="338" t="s">
        <v>211</v>
      </c>
      <c r="K25" s="339"/>
      <c r="L25" s="339"/>
      <c r="M25" s="339"/>
      <c r="N25" s="339"/>
      <c r="O25" s="339"/>
      <c r="P25" s="339"/>
      <c r="Q25" s="339"/>
      <c r="R25" s="339"/>
    </row>
    <row r="26" spans="2:18" ht="30" customHeight="1" x14ac:dyDescent="0.25">
      <c r="B26" s="186"/>
      <c r="C26" s="186"/>
      <c r="D26" s="182"/>
      <c r="E26" s="182"/>
      <c r="F26" s="185" t="str">
        <f t="shared" si="1"/>
        <v/>
      </c>
      <c r="G26" s="186"/>
    </row>
    <row r="27" spans="2:18" ht="30" customHeight="1" x14ac:dyDescent="0.25">
      <c r="B27" s="186"/>
      <c r="C27" s="186"/>
      <c r="D27" s="182"/>
      <c r="E27" s="182"/>
      <c r="F27" s="185" t="str">
        <f t="shared" si="1"/>
        <v/>
      </c>
      <c r="G27" s="186"/>
    </row>
  </sheetData>
  <sheetProtection algorithmName="SHA-512" hashValue="Qw0OSPjA/Ool0kQQFZv8/wXeUlAEL8JvWHdA4eLEi+GomWyPP8qz5+8y+00CRoNw33owGTF2puzNcqcBbpz1sQ==" saltValue="g+Z6G971pZCPkBWAGPETjA==" spinCount="100000" sheet="1" objects="1" scenarios="1" sort="0" autoFilter="0"/>
  <mergeCells count="15">
    <mergeCell ref="J25:R25"/>
    <mergeCell ref="J19:R19"/>
    <mergeCell ref="I11:O11"/>
    <mergeCell ref="I12:J12"/>
    <mergeCell ref="I13:I17"/>
    <mergeCell ref="J23:R23"/>
    <mergeCell ref="J24:R24"/>
    <mergeCell ref="J22:R22"/>
    <mergeCell ref="J20:R20"/>
    <mergeCell ref="I3:O3"/>
    <mergeCell ref="I4:J4"/>
    <mergeCell ref="I5:I9"/>
    <mergeCell ref="B1:G2"/>
    <mergeCell ref="J21:R21"/>
    <mergeCell ref="I1:O2"/>
  </mergeCells>
  <conditionalFormatting sqref="F5:F27">
    <cfRule type="containsText" dxfId="5" priority="3" operator="containsText" text="Sustainable">
      <formula>NOT(ISERROR(SEARCH("Sustainable",F5)))</formula>
    </cfRule>
    <cfRule type="containsText" dxfId="4" priority="4" operator="containsText" text="Moderate">
      <formula>NOT(ISERROR(SEARCH("Moderate",F5)))</formula>
    </cfRule>
    <cfRule type="containsText" dxfId="3" priority="5" operator="containsText" text="Critical">
      <formula>NOT(ISERROR(SEARCH("Critical",F5)))</formula>
    </cfRule>
    <cfRule type="containsText" dxfId="2" priority="6" operator="containsText" text="Severe">
      <formula>NOT(ISERROR(SEARCH("Severe",F5)))</formula>
    </cfRule>
  </conditionalFormatting>
  <dataValidations count="2">
    <dataValidation type="list" allowBlank="1" showInputMessage="1" showErrorMessage="1" sqref="D5:D27" xr:uid="{13C30E0A-BBFC-4088-959A-8462DDA6CF47}">
      <formula1>$J$5:$J$9</formula1>
    </dataValidation>
    <dataValidation type="list" allowBlank="1" showInputMessage="1" showErrorMessage="1" sqref="E5:E27" xr:uid="{588B5A80-9672-4710-8A51-6FC58505C2AC}">
      <formula1>$K$4:$O$4</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2">
    <tabColor theme="9" tint="-0.249977111117893"/>
  </sheetPr>
  <dimension ref="A1:Y27"/>
  <sheetViews>
    <sheetView showGridLines="0" topLeftCell="A9" zoomScaleNormal="100" workbookViewId="0">
      <selection activeCell="N13" sqref="N13"/>
    </sheetView>
  </sheetViews>
  <sheetFormatPr defaultRowHeight="15" x14ac:dyDescent="0.25"/>
  <cols>
    <col min="1" max="1" width="18.42578125" customWidth="1"/>
    <col min="2" max="2" width="2.7109375" hidden="1" customWidth="1"/>
    <col min="3" max="8" width="11" customWidth="1"/>
    <col min="10" max="10" width="8" customWidth="1"/>
    <col min="11" max="11" width="14.42578125" customWidth="1"/>
    <col min="12" max="17" width="11" customWidth="1"/>
    <col min="18" max="18" width="9.7109375" customWidth="1"/>
  </cols>
  <sheetData>
    <row r="1" spans="1:25" s="260" customFormat="1" ht="15.75" thickBot="1" x14ac:dyDescent="0.3"/>
    <row r="2" spans="1:25" ht="15" customHeight="1" thickBot="1" x14ac:dyDescent="0.3">
      <c r="C2" s="2" t="s">
        <v>111</v>
      </c>
      <c r="D2" s="2" t="s">
        <v>112</v>
      </c>
      <c r="E2" s="2" t="s">
        <v>113</v>
      </c>
      <c r="F2" s="2" t="s">
        <v>114</v>
      </c>
      <c r="G2" s="2" t="s">
        <v>115</v>
      </c>
      <c r="H2" s="2" t="s">
        <v>116</v>
      </c>
      <c r="I2" s="2" t="s">
        <v>117</v>
      </c>
      <c r="K2" s="4" t="s">
        <v>118</v>
      </c>
      <c r="L2" s="149">
        <f ca="1">TODAY()</f>
        <v>46097</v>
      </c>
      <c r="M2" s="3" t="s">
        <v>2</v>
      </c>
      <c r="O2" s="347" t="s">
        <v>121</v>
      </c>
      <c r="P2" s="347"/>
      <c r="Q2" s="347"/>
      <c r="R2" s="347"/>
      <c r="S2" s="347"/>
      <c r="T2" s="347"/>
      <c r="U2" s="347"/>
      <c r="V2" s="347"/>
      <c r="W2" s="347"/>
      <c r="X2" s="347"/>
      <c r="Y2" s="347"/>
    </row>
    <row r="3" spans="1:25" ht="15" customHeight="1" thickBot="1" x14ac:dyDescent="0.3">
      <c r="A3" s="1"/>
      <c r="C3" s="349" t="s">
        <v>219</v>
      </c>
      <c r="D3" s="349"/>
      <c r="E3" s="349"/>
      <c r="F3" s="349"/>
      <c r="G3" s="349"/>
      <c r="H3" s="349"/>
      <c r="I3" s="349"/>
      <c r="K3" s="152" t="s">
        <v>119</v>
      </c>
      <c r="L3" s="118">
        <v>46104</v>
      </c>
      <c r="M3">
        <f ca="1">L3-L2</f>
        <v>7</v>
      </c>
      <c r="O3" s="347"/>
      <c r="P3" s="347"/>
      <c r="Q3" s="347"/>
      <c r="R3" s="347"/>
      <c r="S3" s="347"/>
      <c r="T3" s="347"/>
      <c r="U3" s="347"/>
      <c r="V3" s="347"/>
      <c r="W3" s="347"/>
      <c r="X3" s="347"/>
      <c r="Y3" s="347"/>
    </row>
    <row r="4" spans="1:25" ht="45" customHeight="1" thickBot="1" x14ac:dyDescent="0.3">
      <c r="A4" s="37">
        <v>0</v>
      </c>
      <c r="C4" s="93"/>
      <c r="D4" s="94"/>
      <c r="E4" s="94"/>
      <c r="F4" s="94"/>
      <c r="G4" s="94"/>
      <c r="H4" s="94"/>
      <c r="I4" s="95"/>
      <c r="O4" s="295" t="s">
        <v>120</v>
      </c>
      <c r="P4" s="295"/>
      <c r="Q4" s="295"/>
      <c r="R4" s="295"/>
      <c r="S4" s="295"/>
      <c r="T4" s="295"/>
      <c r="U4" s="295"/>
      <c r="V4" s="295"/>
      <c r="W4" s="295"/>
      <c r="X4" s="295"/>
      <c r="Y4" s="295"/>
    </row>
    <row r="5" spans="1:25" ht="45" customHeight="1" thickTop="1" thickBot="1" x14ac:dyDescent="0.3">
      <c r="A5" s="37">
        <v>4.1666666666666699E-2</v>
      </c>
      <c r="C5" s="96"/>
      <c r="D5" s="97"/>
      <c r="E5" s="97"/>
      <c r="F5" s="97"/>
      <c r="G5" s="97"/>
      <c r="H5" s="97"/>
      <c r="I5" s="98"/>
      <c r="O5" s="119" t="s">
        <v>100</v>
      </c>
      <c r="P5" s="5">
        <v>1</v>
      </c>
      <c r="Q5" s="5">
        <v>2</v>
      </c>
      <c r="R5" s="5">
        <v>3</v>
      </c>
      <c r="S5" s="5">
        <v>4</v>
      </c>
      <c r="T5" s="6">
        <v>5</v>
      </c>
      <c r="V5" s="10">
        <v>1</v>
      </c>
      <c r="W5" s="5">
        <v>0.25</v>
      </c>
      <c r="X5" s="6">
        <v>1.75</v>
      </c>
    </row>
    <row r="6" spans="1:25" ht="45" customHeight="1" thickBot="1" x14ac:dyDescent="0.3">
      <c r="A6" s="37">
        <v>8.3333333333333301E-2</v>
      </c>
      <c r="C6" s="99"/>
      <c r="D6" s="100"/>
      <c r="E6" s="100"/>
      <c r="F6" s="100"/>
      <c r="G6" s="100"/>
      <c r="H6" s="100"/>
      <c r="I6" s="101"/>
      <c r="O6" s="120" t="s">
        <v>0</v>
      </c>
      <c r="P6" s="5">
        <v>1</v>
      </c>
      <c r="Q6" s="5">
        <v>2</v>
      </c>
      <c r="R6" s="5">
        <v>3</v>
      </c>
      <c r="S6" s="5">
        <v>4</v>
      </c>
      <c r="T6" s="6">
        <v>5</v>
      </c>
      <c r="V6" s="11">
        <v>2</v>
      </c>
      <c r="W6" s="1">
        <v>0.5</v>
      </c>
      <c r="X6" s="12">
        <v>1.5</v>
      </c>
    </row>
    <row r="7" spans="1:25" ht="45" customHeight="1" thickBot="1" x14ac:dyDescent="0.3">
      <c r="A7" s="37">
        <v>0.125</v>
      </c>
      <c r="C7" s="96"/>
      <c r="D7" s="97"/>
      <c r="E7" s="97"/>
      <c r="F7" s="97"/>
      <c r="G7" s="97"/>
      <c r="H7" s="97"/>
      <c r="I7" s="98"/>
      <c r="O7" s="121" t="s">
        <v>101</v>
      </c>
      <c r="P7" s="5">
        <v>1</v>
      </c>
      <c r="Q7" s="5">
        <v>2</v>
      </c>
      <c r="R7" s="5">
        <v>3</v>
      </c>
      <c r="S7" s="5">
        <v>4</v>
      </c>
      <c r="T7" s="6">
        <v>5</v>
      </c>
      <c r="V7" s="11">
        <v>3</v>
      </c>
      <c r="W7" s="1">
        <v>0.75</v>
      </c>
      <c r="X7" s="12">
        <v>1.3</v>
      </c>
    </row>
    <row r="8" spans="1:25" ht="45" customHeight="1" thickBot="1" x14ac:dyDescent="0.3">
      <c r="A8" s="37">
        <v>0.16666666666666699</v>
      </c>
      <c r="C8" s="99"/>
      <c r="D8" s="100"/>
      <c r="E8" s="100"/>
      <c r="F8" s="100"/>
      <c r="G8" s="100"/>
      <c r="H8" s="100"/>
      <c r="I8" s="101"/>
      <c r="O8" s="122" t="s">
        <v>102</v>
      </c>
      <c r="P8" s="5">
        <v>1</v>
      </c>
      <c r="Q8" s="5">
        <v>2</v>
      </c>
      <c r="R8" s="5">
        <v>3</v>
      </c>
      <c r="S8" s="5">
        <v>4</v>
      </c>
      <c r="T8" s="6">
        <v>5</v>
      </c>
      <c r="V8" s="11">
        <v>4</v>
      </c>
      <c r="W8" s="1">
        <v>0.9</v>
      </c>
      <c r="X8" s="12">
        <v>1.1000000000000001</v>
      </c>
    </row>
    <row r="9" spans="1:25" ht="45" customHeight="1" thickBot="1" x14ac:dyDescent="0.3">
      <c r="A9" s="37">
        <v>0.20833333333333301</v>
      </c>
      <c r="C9" s="102"/>
      <c r="D9" s="97"/>
      <c r="E9" s="97"/>
      <c r="F9" s="97"/>
      <c r="G9" s="97"/>
      <c r="H9" s="97"/>
      <c r="I9" s="98"/>
      <c r="O9" s="123" t="s">
        <v>103</v>
      </c>
      <c r="P9" s="5">
        <v>1</v>
      </c>
      <c r="Q9" s="5">
        <v>2</v>
      </c>
      <c r="R9" s="5">
        <v>3</v>
      </c>
      <c r="S9" s="5">
        <v>4</v>
      </c>
      <c r="T9" s="6">
        <v>5</v>
      </c>
      <c r="V9" s="13">
        <v>5</v>
      </c>
      <c r="W9" s="14">
        <v>1</v>
      </c>
      <c r="X9" s="16">
        <v>1</v>
      </c>
    </row>
    <row r="10" spans="1:25" ht="45" customHeight="1" thickBot="1" x14ac:dyDescent="0.3">
      <c r="A10" s="37">
        <v>0.25</v>
      </c>
      <c r="C10" s="99"/>
      <c r="D10" s="100"/>
      <c r="E10" s="100"/>
      <c r="F10" s="100"/>
      <c r="G10" s="100"/>
      <c r="H10" s="100"/>
      <c r="I10" s="101"/>
      <c r="O10" s="124" t="s">
        <v>104</v>
      </c>
      <c r="P10" s="38">
        <v>1</v>
      </c>
      <c r="Q10" s="38">
        <v>2</v>
      </c>
      <c r="R10" s="38">
        <v>3</v>
      </c>
      <c r="S10" s="38">
        <v>4</v>
      </c>
      <c r="T10" s="36">
        <v>5</v>
      </c>
      <c r="V10" s="10">
        <v>1</v>
      </c>
      <c r="W10" s="5" t="s">
        <v>4</v>
      </c>
      <c r="X10" s="6" t="s">
        <v>5</v>
      </c>
    </row>
    <row r="11" spans="1:25" ht="45" customHeight="1" x14ac:dyDescent="0.25">
      <c r="A11" s="37">
        <v>0.29166666666666702</v>
      </c>
      <c r="C11" s="102"/>
      <c r="D11" s="97"/>
      <c r="E11" s="97"/>
      <c r="F11" s="97"/>
      <c r="G11" s="97"/>
      <c r="H11" s="97"/>
      <c r="I11" s="98"/>
      <c r="V11" s="11">
        <v>2</v>
      </c>
      <c r="W11" s="1" t="s">
        <v>6</v>
      </c>
      <c r="X11" s="12" t="s">
        <v>7</v>
      </c>
    </row>
    <row r="12" spans="1:25" ht="45" customHeight="1" x14ac:dyDescent="0.25">
      <c r="A12" s="37">
        <v>0.33333333333333298</v>
      </c>
      <c r="C12" s="103"/>
      <c r="D12" s="100"/>
      <c r="E12" s="100"/>
      <c r="F12" s="100"/>
      <c r="G12" s="100"/>
      <c r="H12" s="100"/>
      <c r="I12" s="101"/>
      <c r="V12" s="11">
        <v>3</v>
      </c>
      <c r="W12" s="1" t="s">
        <v>8</v>
      </c>
      <c r="X12" s="12" t="s">
        <v>9</v>
      </c>
    </row>
    <row r="13" spans="1:25" ht="45" customHeight="1" thickBot="1" x14ac:dyDescent="0.3">
      <c r="A13" s="37">
        <v>0.375</v>
      </c>
      <c r="C13" s="102"/>
      <c r="D13" s="97"/>
      <c r="E13" s="97"/>
      <c r="F13" s="97"/>
      <c r="G13" s="97"/>
      <c r="H13" s="97"/>
      <c r="I13" s="98"/>
      <c r="M13" s="17" t="s">
        <v>106</v>
      </c>
      <c r="N13" s="17" t="s">
        <v>107</v>
      </c>
      <c r="O13" s="17" t="s">
        <v>108</v>
      </c>
      <c r="P13" s="17" t="s">
        <v>202</v>
      </c>
      <c r="Q13" s="17" t="s">
        <v>109</v>
      </c>
      <c r="R13" s="17" t="s">
        <v>110</v>
      </c>
      <c r="S13" s="18" t="s">
        <v>3</v>
      </c>
      <c r="V13" s="11">
        <v>4</v>
      </c>
      <c r="W13" s="1" t="s">
        <v>10</v>
      </c>
      <c r="X13" s="12" t="s">
        <v>11</v>
      </c>
    </row>
    <row r="14" spans="1:25" ht="45" customHeight="1" thickBot="1" x14ac:dyDescent="0.3">
      <c r="A14" s="37">
        <v>0.41666666666666702</v>
      </c>
      <c r="C14" s="103"/>
      <c r="D14" s="100"/>
      <c r="E14" s="100"/>
      <c r="F14" s="100"/>
      <c r="G14" s="100"/>
      <c r="H14" s="100"/>
      <c r="I14" s="101"/>
      <c r="L14" s="8">
        <v>1</v>
      </c>
      <c r="M14" s="110" t="s">
        <v>100</v>
      </c>
      <c r="N14" s="107">
        <v>30</v>
      </c>
      <c r="O14" s="19">
        <f>COUNTIF($C$4:$I$27,1)</f>
        <v>0</v>
      </c>
      <c r="P14" s="116">
        <v>56</v>
      </c>
      <c r="Q14" s="20">
        <f>(O14/P14)*'Progress calculator'!$N14</f>
        <v>0</v>
      </c>
      <c r="R14" s="21">
        <f>MINA(5,'Progress calculator'!$O14/'Progress calculator'!$P14)</f>
        <v>0</v>
      </c>
      <c r="S14" s="35" cm="1">
        <f t="array" ref="S14">_xlfn.IFS(R14&lt;$W$5,$V$5,R14&gt;$X$5,$V$5,R14&lt;$W$6,$V$6,R14&gt;$X$6,$V$6,R14&lt;$W$7,$V$7,R14&gt;$X$7,$V$7,R14&lt;$W$8,$V$8,R14&gt;$X$8,$V$8,R14&lt;=$W$9,$V$9,R14&gt;=$X$9,$V$9)</f>
        <v>1</v>
      </c>
      <c r="V14" s="13">
        <v>5</v>
      </c>
      <c r="W14" s="14" t="s">
        <v>12</v>
      </c>
      <c r="X14" s="15" t="s">
        <v>13</v>
      </c>
    </row>
    <row r="15" spans="1:25" ht="45" customHeight="1" thickBot="1" x14ac:dyDescent="0.3">
      <c r="A15" s="37">
        <v>0.45833333333333298</v>
      </c>
      <c r="C15" s="102"/>
      <c r="D15" s="97"/>
      <c r="E15" s="97"/>
      <c r="F15" s="97"/>
      <c r="G15" s="97"/>
      <c r="H15" s="97"/>
      <c r="I15" s="98"/>
      <c r="L15" s="9">
        <v>2</v>
      </c>
      <c r="M15" s="111" t="s">
        <v>0</v>
      </c>
      <c r="N15" s="108">
        <v>10</v>
      </c>
      <c r="O15" s="22">
        <f>COUNTIF($C$4:$I$27,2)</f>
        <v>0</v>
      </c>
      <c r="P15" s="117">
        <v>5</v>
      </c>
      <c r="Q15" s="23">
        <f>(O15/P15)*'Progress calculator'!$N15</f>
        <v>0</v>
      </c>
      <c r="R15" s="24">
        <f>MINA(5,'Progress calculator'!$O15/'Progress calculator'!$P15)</f>
        <v>0</v>
      </c>
      <c r="S15" s="35" cm="1">
        <f t="array" ref="S15">_xlfn.IFS(R15&lt;$W$5,$V$5,R15&gt;$X$5,$V$5,R15&lt;$W$6,$V$6,R15&gt;$X$6,$V$6,R15&lt;$W$7,$V$7,R15&gt;$X$7,$V$7,R15&lt;$W$8,$V$8,R15&gt;$X$8,$V$8,R15&lt;=$W$9,$V$9,R15&gt;=$X$9,$V$9)</f>
        <v>1</v>
      </c>
    </row>
    <row r="16" spans="1:25" ht="45" customHeight="1" thickBot="1" x14ac:dyDescent="0.3">
      <c r="A16" s="37">
        <v>0.5</v>
      </c>
      <c r="C16" s="103"/>
      <c r="D16" s="100"/>
      <c r="E16" s="100"/>
      <c r="F16" s="100"/>
      <c r="G16" s="100"/>
      <c r="H16" s="100"/>
      <c r="I16" s="101"/>
      <c r="L16" s="8">
        <v>3</v>
      </c>
      <c r="M16" s="112" t="s">
        <v>101</v>
      </c>
      <c r="N16" s="109">
        <v>17</v>
      </c>
      <c r="O16" s="19">
        <f>COUNTIF($C$4:$I$27,3)</f>
        <v>0</v>
      </c>
      <c r="P16" s="116">
        <v>22</v>
      </c>
      <c r="Q16" s="20">
        <f>(O16/P16)*'Progress calculator'!$N16</f>
        <v>0</v>
      </c>
      <c r="R16" s="21">
        <f>MINA(5,'Progress calculator'!$O16/'Progress calculator'!$P16)</f>
        <v>0</v>
      </c>
      <c r="S16" s="35" cm="1">
        <f t="array" ref="S16">_xlfn.IFS(R16&lt;$W$5,$V$5,R16&gt;$X$5,$V$5,R16&lt;$W$6,$V$6,R16&gt;$X$6,$V$6,R16&lt;$W$7,$V$7,R16&gt;$X$7,$V$7,R16&lt;$W$8,$V$8,R16&gt;$X$8,$V$8,R16&lt;=$W$9,$V$9,R16&gt;=$X$9,$V$9)</f>
        <v>1</v>
      </c>
    </row>
    <row r="17" spans="1:20" ht="45" customHeight="1" thickBot="1" x14ac:dyDescent="0.3">
      <c r="A17" s="37">
        <v>0.54166666666666696</v>
      </c>
      <c r="C17" s="102"/>
      <c r="D17" s="97"/>
      <c r="E17" s="97"/>
      <c r="F17" s="97"/>
      <c r="G17" s="97"/>
      <c r="H17" s="97"/>
      <c r="I17" s="98"/>
      <c r="L17" s="9">
        <v>4</v>
      </c>
      <c r="M17" s="113" t="s">
        <v>102</v>
      </c>
      <c r="N17" s="108">
        <v>18</v>
      </c>
      <c r="O17" s="22">
        <f>COUNTIF($C$4:$I$27,4)</f>
        <v>0</v>
      </c>
      <c r="P17" s="117">
        <v>30</v>
      </c>
      <c r="Q17" s="23">
        <f>(O17/P17)*'Progress calculator'!$N17</f>
        <v>0</v>
      </c>
      <c r="R17" s="24">
        <f>MINA(5,'Progress calculator'!$O17/'Progress calculator'!$P17)</f>
        <v>0</v>
      </c>
      <c r="S17" s="35" cm="1">
        <f t="array" ref="S17">_xlfn.IFS(R17&lt;$W$5,$V$5,R17&gt;$X$5,$V$5,R17&lt;$W$6,$V$6,R17&gt;$X$6,$V$6,R17&lt;$W$7,$V$7,R17&gt;$X$7,$V$7,R17&lt;$W$8,$V$8,R17&gt;$X$8,$V$8,R17&lt;=$W$9,$V$9,R17&gt;=$X$9,$V$9)</f>
        <v>1</v>
      </c>
    </row>
    <row r="18" spans="1:20" ht="45" customHeight="1" thickBot="1" x14ac:dyDescent="0.3">
      <c r="A18" s="37">
        <v>0.58333333333333304</v>
      </c>
      <c r="C18" s="103"/>
      <c r="D18" s="100"/>
      <c r="E18" s="100"/>
      <c r="F18" s="100"/>
      <c r="G18" s="100"/>
      <c r="H18" s="100"/>
      <c r="I18" s="101"/>
      <c r="L18" s="8">
        <v>5</v>
      </c>
      <c r="M18" s="114" t="s">
        <v>103</v>
      </c>
      <c r="N18" s="109">
        <v>10</v>
      </c>
      <c r="O18" s="19">
        <f>COUNTIF($C$4:$I$27,5)</f>
        <v>0</v>
      </c>
      <c r="P18" s="116">
        <v>15</v>
      </c>
      <c r="Q18" s="20">
        <f>(O18/P18)*'Progress calculator'!$N18</f>
        <v>0</v>
      </c>
      <c r="R18" s="21">
        <f>MINA(5,'Progress calculator'!$O18/'Progress calculator'!$P18)</f>
        <v>0</v>
      </c>
      <c r="S18" s="35" cm="1">
        <f t="array" ref="S18">_xlfn.IFS(R18&lt;$W$5,$V$5,R18&gt;$X$5,$V$5,R18&lt;$W$6,$V$6,R18&gt;$X$6,$V$6,R18&lt;$W$7,$V$7,R18&gt;$X$7,$V$7,R18&lt;$W$8,$V$8,R18&gt;$X$8,$V$8,R18&lt;=$W$9,$V$9,R18&gt;=$X$9,$V$9)</f>
        <v>1</v>
      </c>
    </row>
    <row r="19" spans="1:20" ht="45" customHeight="1" thickBot="1" x14ac:dyDescent="0.3">
      <c r="A19" s="37">
        <v>0.625</v>
      </c>
      <c r="C19" s="102"/>
      <c r="D19" s="97"/>
      <c r="E19" s="97"/>
      <c r="F19" s="97"/>
      <c r="G19" s="97"/>
      <c r="H19" s="97"/>
      <c r="I19" s="98"/>
      <c r="L19" s="25">
        <v>6</v>
      </c>
      <c r="M19" s="115" t="s">
        <v>105</v>
      </c>
      <c r="N19" s="108">
        <v>15</v>
      </c>
      <c r="O19" s="22">
        <f>COUNTIF($C$4:$I$27,6)</f>
        <v>0</v>
      </c>
      <c r="P19" s="117">
        <v>40</v>
      </c>
      <c r="Q19" s="23">
        <f>(O19/P19)*'Progress calculator'!$N19</f>
        <v>0</v>
      </c>
      <c r="R19" s="24">
        <f>MINA(5,'Progress calculator'!$O19/'Progress calculator'!$P19)</f>
        <v>0</v>
      </c>
      <c r="S19" s="35" cm="1">
        <f t="array" ref="S19">_xlfn.IFS(R19&lt;$W$5,$V$5,R19&gt;$X$5,$V$5,R19&lt;$W$6,$V$6,R19&gt;$X$6,$V$6,R19&lt;$W$7,$V$7,R19&gt;$X$7,$V$7,R19&lt;$W$8,$V$8,R19&gt;$X$8,$V$8,R19&lt;=$W$9,$V$9,R19&gt;=$X$9,$V$9)</f>
        <v>1</v>
      </c>
    </row>
    <row r="20" spans="1:20" ht="45" customHeight="1" thickBot="1" x14ac:dyDescent="0.3">
      <c r="A20" s="37">
        <v>0.66666666666666696</v>
      </c>
      <c r="C20" s="103"/>
      <c r="D20" s="100"/>
      <c r="E20" s="100"/>
      <c r="F20" s="100"/>
      <c r="G20" s="100"/>
      <c r="H20" s="100"/>
      <c r="I20" s="101"/>
      <c r="N20" s="7">
        <f>SUM(N14:N19)</f>
        <v>100</v>
      </c>
      <c r="Q20" s="7">
        <f>SUM('Progress calculator'!$Q$14:$Q$19)</f>
        <v>0</v>
      </c>
      <c r="S20" s="34">
        <f>(S14*N14+S15*N15+S16*N16+S17*N17+S18*N18+S19*N19)/N20</f>
        <v>1</v>
      </c>
    </row>
    <row r="21" spans="1:20" ht="45" customHeight="1" x14ac:dyDescent="0.25">
      <c r="A21" s="37">
        <v>0.70833333333333304</v>
      </c>
      <c r="C21" s="102"/>
      <c r="D21" s="97"/>
      <c r="E21" s="97"/>
      <c r="F21" s="97"/>
      <c r="G21" s="97"/>
      <c r="H21" s="97"/>
      <c r="I21" s="98"/>
    </row>
    <row r="22" spans="1:20" ht="45" customHeight="1" thickBot="1" x14ac:dyDescent="0.3">
      <c r="A22" s="37">
        <v>0.75</v>
      </c>
      <c r="C22" s="103"/>
      <c r="D22" s="100"/>
      <c r="E22" s="100"/>
      <c r="F22" s="100"/>
      <c r="G22" s="100"/>
      <c r="H22" s="100"/>
      <c r="I22" s="101"/>
      <c r="L22" s="295" t="s">
        <v>213</v>
      </c>
      <c r="M22" s="295"/>
      <c r="N22" s="295"/>
      <c r="O22" s="295"/>
      <c r="P22" s="295"/>
      <c r="Q22" s="295"/>
      <c r="R22" s="295"/>
      <c r="S22" s="295"/>
      <c r="T22" s="295"/>
    </row>
    <row r="23" spans="1:20" ht="45" customHeight="1" thickTop="1" x14ac:dyDescent="0.25">
      <c r="A23" s="37">
        <v>0.79166666666666696</v>
      </c>
      <c r="C23" s="102"/>
      <c r="D23" s="97"/>
      <c r="E23" s="97"/>
      <c r="F23" s="97"/>
      <c r="G23" s="97"/>
      <c r="H23" s="97"/>
      <c r="I23" s="98"/>
      <c r="L23" s="348" t="s">
        <v>224</v>
      </c>
      <c r="M23" s="348"/>
      <c r="N23" s="348"/>
      <c r="O23" s="348"/>
      <c r="P23" s="348"/>
      <c r="Q23" s="348"/>
      <c r="R23" s="348"/>
      <c r="S23" s="348"/>
      <c r="T23" s="348"/>
    </row>
    <row r="24" spans="1:20" ht="45" customHeight="1" x14ac:dyDescent="0.25">
      <c r="A24" s="37">
        <v>0.83333333333333304</v>
      </c>
      <c r="C24" s="103"/>
      <c r="D24" s="100"/>
      <c r="E24" s="100"/>
      <c r="F24" s="100"/>
      <c r="G24" s="100"/>
      <c r="H24" s="100"/>
      <c r="I24" s="101"/>
      <c r="L24" s="296"/>
      <c r="M24" s="296"/>
      <c r="N24" s="296"/>
      <c r="O24" s="296"/>
      <c r="P24" s="296"/>
      <c r="Q24" s="296"/>
      <c r="R24" s="296"/>
      <c r="S24" s="296"/>
      <c r="T24" s="296"/>
    </row>
    <row r="25" spans="1:20" ht="45" customHeight="1" x14ac:dyDescent="0.25">
      <c r="A25" s="37">
        <v>0.875</v>
      </c>
      <c r="C25" s="102"/>
      <c r="D25" s="97"/>
      <c r="E25" s="97"/>
      <c r="F25" s="97"/>
      <c r="G25" s="97"/>
      <c r="H25" s="97"/>
      <c r="I25" s="98"/>
      <c r="L25" s="296"/>
      <c r="M25" s="296"/>
      <c r="N25" s="296"/>
      <c r="O25" s="296"/>
      <c r="P25" s="296"/>
      <c r="Q25" s="296"/>
      <c r="R25" s="296"/>
      <c r="S25" s="296"/>
      <c r="T25" s="296"/>
    </row>
    <row r="26" spans="1:20" ht="45" customHeight="1" x14ac:dyDescent="0.25">
      <c r="A26" s="37">
        <v>0.91666666666666696</v>
      </c>
      <c r="C26" s="103"/>
      <c r="D26" s="100"/>
      <c r="E26" s="100"/>
      <c r="F26" s="100"/>
      <c r="G26" s="100"/>
      <c r="H26" s="100"/>
      <c r="I26" s="101"/>
      <c r="L26" s="296"/>
      <c r="M26" s="296"/>
      <c r="N26" s="296"/>
      <c r="O26" s="296"/>
      <c r="P26" s="296"/>
      <c r="Q26" s="296"/>
      <c r="R26" s="296"/>
      <c r="S26" s="296"/>
      <c r="T26" s="296"/>
    </row>
    <row r="27" spans="1:20" ht="45" customHeight="1" thickBot="1" x14ac:dyDescent="0.3">
      <c r="A27" s="37">
        <v>0.95833333333333304</v>
      </c>
      <c r="C27" s="104"/>
      <c r="D27" s="105"/>
      <c r="E27" s="105"/>
      <c r="F27" s="105"/>
      <c r="G27" s="105"/>
      <c r="H27" s="105"/>
      <c r="I27" s="106"/>
      <c r="L27" s="296"/>
      <c r="M27" s="296"/>
      <c r="N27" s="296"/>
      <c r="O27" s="296"/>
      <c r="P27" s="296"/>
      <c r="Q27" s="296"/>
      <c r="R27" s="296"/>
      <c r="S27" s="296"/>
      <c r="T27" s="296"/>
    </row>
  </sheetData>
  <sheetProtection algorithmName="SHA-512" hashValue="NB0PFpNXmKrAvI7JFRwy+LvkuLVjrpEQjVEkwZczozTddxYDbTWGuON1aq16yyoGuXWrUgCu+2ahxeM2TA3dJQ==" saltValue="JWzt+XfEVqLwo6UYzXSTfA==" spinCount="100000" sheet="1" objects="1" scenarios="1" autoFilter="0"/>
  <protectedRanges>
    <protectedRange algorithmName="SHA-512" hashValue="JO9faW3vtv/hCewkMntuNqLSF+wYkbhZCZ4HIJyVicDUs0OXHSg5fmcr2qYDCUOVIfn2EKSH3Jd60CA/8MZohQ==" saltValue="nFEumhzaeuA/OlBj8ouDsQ==" spinCount="100000" sqref="O14:O19" name="Tabella Tracker 1"/>
    <protectedRange algorithmName="SHA-512" hashValue="tMMrEhhM+Dj/7Y+QgC5si6cBXqOllURuvGYrsb/jeFj9EfpZnvj7p0mjWGWuNBrBObGA+8RiqLBgaWJgogi85g==" saltValue="Ax2/LIhaSo0sryrUIyw3nQ==" spinCount="100000" sqref="Q14:R19" name="Punteggio"/>
    <protectedRange algorithmName="SHA-512" hashValue="A9std2a4nD1Xz31ltzi6MQygUttJ3HA9LTP15xf0VtBAho1C259l1kRwHD3JjNErHd0qslHRFn4bPNhzgSL7hQ==" saltValue="L0hYLqfUEC/rTlkI5TQ5Lw==" spinCount="100000" sqref="V5:X9" name="Tabella punteggi"/>
  </protectedRanges>
  <mergeCells count="6">
    <mergeCell ref="O4:Y4"/>
    <mergeCell ref="O2:Y3"/>
    <mergeCell ref="A1:XFD1"/>
    <mergeCell ref="L22:T22"/>
    <mergeCell ref="L23:T27"/>
    <mergeCell ref="C3:I3"/>
  </mergeCells>
  <phoneticPr fontId="5" type="noConversion"/>
  <conditionalFormatting sqref="P5:T10 W14 V5:V14 P12:T12">
    <cfRule type="colorScale" priority="19">
      <colorScale>
        <cfvo type="min"/>
        <cfvo type="percentile" val="50"/>
        <cfvo type="max"/>
        <color rgb="FFFF7128"/>
        <color rgb="FFFFEB84"/>
        <color theme="9" tint="-0.249977111117893"/>
      </colorScale>
    </cfRule>
  </conditionalFormatting>
  <conditionalFormatting sqref="R14:R19">
    <cfRule type="colorScale" priority="16">
      <colorScale>
        <cfvo type="min"/>
        <cfvo type="num" val="1"/>
        <cfvo type="max"/>
        <color rgb="FFF8696B"/>
        <color theme="9" tint="-0.249977111117893"/>
        <color theme="5" tint="-0.249977111117893"/>
      </colorScale>
    </cfRule>
  </conditionalFormatting>
  <conditionalFormatting sqref="S14:S19">
    <cfRule type="colorScale" priority="1">
      <colorScale>
        <cfvo type="min"/>
        <cfvo type="percentile" val="50"/>
        <cfvo type="max"/>
        <color rgb="FFF8696B"/>
        <color rgb="FFFFEB84"/>
        <color rgb="FF63BE7B"/>
      </colorScale>
    </cfRule>
  </conditionalFormatting>
  <conditionalFormatting sqref="S14:S20">
    <cfRule type="colorScale" priority="2">
      <colorScale>
        <cfvo type="min"/>
        <cfvo type="percentile" val="50"/>
        <cfvo type="max"/>
        <color rgb="FF63BE7B"/>
        <color rgb="FFFFEB84"/>
        <color rgb="FFF8696B"/>
      </colorScale>
    </cfRule>
  </conditionalFormatting>
  <conditionalFormatting sqref="Z13:Z17">
    <cfRule type="colorScale" priority="13">
      <colorScale>
        <cfvo type="min"/>
        <cfvo type="percentile" val="50"/>
        <cfvo type="max"/>
        <color rgb="FFFF7128"/>
        <color rgb="FFFFEB84"/>
        <color theme="9" tint="-0.249977111117893"/>
      </colorScale>
    </cfRule>
  </conditionalFormatting>
  <dataValidations count="1">
    <dataValidation type="list" allowBlank="1" showInputMessage="1" showErrorMessage="1" sqref="C4:I27" xr:uid="{77F89E6E-2F28-4BCF-AB10-A30A025E0ADD}">
      <formula1>"1,2,3,4,5,6"</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6AF2-0795-486B-8050-9E8325ABE020}">
  <sheetPr codeName="Foglio3">
    <tabColor theme="2" tint="-0.749992370372631"/>
  </sheetPr>
  <dimension ref="A1:Z21"/>
  <sheetViews>
    <sheetView showGridLines="0" tabSelected="1" topLeftCell="F1" zoomScaleNormal="100" workbookViewId="0">
      <pane ySplit="1" topLeftCell="A10" activePane="bottomLeft" state="frozen"/>
      <selection activeCell="B1" sqref="B1"/>
      <selection pane="bottomLeft" activeCell="B18" sqref="B18:P18"/>
    </sheetView>
  </sheetViews>
  <sheetFormatPr defaultRowHeight="15" x14ac:dyDescent="0.25"/>
  <cols>
    <col min="1" max="1" width="15.140625" bestFit="1" customWidth="1"/>
    <col min="2" max="15" width="11.85546875" customWidth="1"/>
    <col min="16" max="16" width="9.7109375" bestFit="1" customWidth="1"/>
    <col min="17" max="17" width="14.28515625" bestFit="1" customWidth="1"/>
    <col min="18" max="29" width="9.7109375" bestFit="1" customWidth="1"/>
  </cols>
  <sheetData>
    <row r="1" spans="1:26" ht="32.25" customHeight="1" x14ac:dyDescent="0.25">
      <c r="A1" s="355" t="s">
        <v>127</v>
      </c>
      <c r="B1" s="355"/>
      <c r="C1" s="355"/>
      <c r="D1" s="355"/>
      <c r="E1" s="355"/>
      <c r="F1" s="355"/>
      <c r="G1" s="355"/>
      <c r="H1" s="355"/>
      <c r="I1" s="355"/>
      <c r="J1" s="355"/>
      <c r="K1" s="355"/>
      <c r="L1" s="355"/>
      <c r="M1" s="355"/>
      <c r="N1" s="355"/>
      <c r="O1" s="355"/>
      <c r="P1" s="355"/>
      <c r="Q1" s="355"/>
      <c r="R1" s="355"/>
      <c r="S1" s="355"/>
      <c r="T1" s="355"/>
      <c r="U1" s="355"/>
      <c r="V1" s="355"/>
      <c r="W1" s="355"/>
      <c r="X1" s="355"/>
    </row>
    <row r="2" spans="1:26" ht="32.25" customHeight="1" thickBot="1" x14ac:dyDescent="0.3">
      <c r="A2" s="41"/>
      <c r="B2" s="41"/>
      <c r="C2" s="314" t="s">
        <v>220</v>
      </c>
      <c r="D2" s="314"/>
      <c r="E2" s="314"/>
      <c r="F2" s="314"/>
      <c r="G2" s="314"/>
      <c r="H2" s="314"/>
      <c r="I2" s="314"/>
      <c r="J2" s="314"/>
      <c r="K2" s="41"/>
      <c r="L2" s="41"/>
      <c r="M2" s="41"/>
      <c r="N2" s="41"/>
      <c r="O2" s="41"/>
      <c r="P2" s="41"/>
      <c r="Q2" s="41"/>
      <c r="R2" s="41"/>
      <c r="S2" s="41"/>
      <c r="T2" s="41"/>
      <c r="U2" s="41"/>
      <c r="V2" s="41"/>
      <c r="W2" s="42"/>
    </row>
    <row r="3" spans="1:26" ht="64.5" customHeight="1" thickBot="1" x14ac:dyDescent="0.3">
      <c r="C3" s="63" t="s">
        <v>49</v>
      </c>
      <c r="D3" s="73" t="s">
        <v>170</v>
      </c>
      <c r="E3" s="71" t="s">
        <v>171</v>
      </c>
      <c r="F3" s="74" t="s">
        <v>172</v>
      </c>
      <c r="G3" s="75" t="s">
        <v>124</v>
      </c>
      <c r="H3" s="76" t="s">
        <v>133</v>
      </c>
      <c r="I3" s="85"/>
      <c r="J3" s="86"/>
      <c r="L3" s="64"/>
      <c r="M3" s="65"/>
      <c r="O3" s="356" t="s">
        <v>121</v>
      </c>
      <c r="P3" s="357"/>
      <c r="Q3" s="26">
        <v>1</v>
      </c>
      <c r="R3" s="26">
        <v>2</v>
      </c>
      <c r="S3" s="26">
        <v>3</v>
      </c>
      <c r="T3" s="26">
        <v>4</v>
      </c>
      <c r="U3" s="26">
        <v>5</v>
      </c>
    </row>
    <row r="4" spans="1:26" ht="32.25" customHeight="1" x14ac:dyDescent="0.25">
      <c r="C4" s="61" t="s">
        <v>125</v>
      </c>
      <c r="D4" s="60" cm="1">
        <f t="array" ref="D4">_xlfn.IFS(D6&lt;=4,1,D6&lt;=8,2,D6&lt;=12,3,D6&lt;=17,4,D6&lt;=21,5)</f>
        <v>1</v>
      </c>
      <c r="E4" s="60" cm="1">
        <f t="array" ref="E4">_xlfn.IFS(E6&lt;=4,1,E6&lt;=8,2,E6&lt;=12,3,E6&lt;=17,4,E6&lt;=21,5)</f>
        <v>1</v>
      </c>
      <c r="F4" s="60" cm="1">
        <f t="array" ref="F4">_xlfn.IFS(F6&lt;=4,1,F6&lt;=8,2,F6&lt;=12,3,F6&lt;=17,4,F6&lt;=21,5)</f>
        <v>1</v>
      </c>
      <c r="G4" s="60" cm="1">
        <f t="array" ref="G4">_xlfn.IFS(G6&lt;=4,1,G6&lt;=8,2,G6&lt;=12,3,G6&lt;=17,4,G6&lt;=21,5)</f>
        <v>1</v>
      </c>
      <c r="H4" s="60" cm="1">
        <f t="array" ref="H4">_xlfn.IFS(H6&lt;=4,1,H6&lt;=8,2,H6&lt;=12,3,H6&lt;=17,4,H6&lt;=21,5)</f>
        <v>1</v>
      </c>
      <c r="I4" s="68" t="s">
        <v>56</v>
      </c>
      <c r="J4" s="62">
        <v>1</v>
      </c>
      <c r="O4" s="358" t="s">
        <v>51</v>
      </c>
      <c r="P4" s="358"/>
      <c r="Q4" s="79" t="s">
        <v>61</v>
      </c>
      <c r="R4" s="80" t="s">
        <v>62</v>
      </c>
      <c r="S4" s="80" t="s">
        <v>63</v>
      </c>
      <c r="T4" s="80" t="s">
        <v>64</v>
      </c>
      <c r="U4" s="80" t="s">
        <v>65</v>
      </c>
    </row>
    <row r="5" spans="1:26" ht="32.25" customHeight="1" x14ac:dyDescent="0.25">
      <c r="C5" s="43" t="s">
        <v>107</v>
      </c>
      <c r="D5" s="150">
        <v>20</v>
      </c>
      <c r="E5" s="150">
        <v>20</v>
      </c>
      <c r="F5" s="150">
        <v>20</v>
      </c>
      <c r="G5" s="150">
        <v>20</v>
      </c>
      <c r="H5" s="151">
        <v>20</v>
      </c>
      <c r="I5" s="69" t="s">
        <v>57</v>
      </c>
      <c r="J5" s="45">
        <v>2</v>
      </c>
      <c r="O5" s="359" t="s">
        <v>52</v>
      </c>
      <c r="P5" s="359"/>
      <c r="Q5" s="87">
        <v>0</v>
      </c>
      <c r="R5" s="26">
        <v>5</v>
      </c>
      <c r="S5" s="26">
        <v>9</v>
      </c>
      <c r="T5" s="26">
        <v>13</v>
      </c>
      <c r="U5" s="26">
        <v>18</v>
      </c>
    </row>
    <row r="6" spans="1:26" ht="32.25" customHeight="1" x14ac:dyDescent="0.25">
      <c r="C6" s="43" t="s">
        <v>109</v>
      </c>
      <c r="D6" s="46">
        <f>SUM(B19:D19)</f>
        <v>0</v>
      </c>
      <c r="E6" s="46">
        <f>SUM(E19:G19)</f>
        <v>0</v>
      </c>
      <c r="F6" s="46">
        <f>SUM(H19:J19)</f>
        <v>0</v>
      </c>
      <c r="G6" s="46">
        <f>SUM(K19:M19)</f>
        <v>0</v>
      </c>
      <c r="H6" s="72">
        <f>SUM(N19:P19)</f>
        <v>0</v>
      </c>
      <c r="I6" s="69" t="s">
        <v>58</v>
      </c>
      <c r="J6" s="45">
        <v>3</v>
      </c>
      <c r="O6" s="360" t="s">
        <v>53</v>
      </c>
      <c r="P6" s="360"/>
      <c r="Q6" s="87">
        <v>0</v>
      </c>
      <c r="R6" s="26">
        <v>5</v>
      </c>
      <c r="S6" s="26">
        <v>9</v>
      </c>
      <c r="T6" s="26">
        <v>13</v>
      </c>
      <c r="U6" s="26">
        <v>18</v>
      </c>
    </row>
    <row r="7" spans="1:26" ht="32.25" customHeight="1" thickBot="1" x14ac:dyDescent="0.3">
      <c r="C7" s="43" t="s">
        <v>126</v>
      </c>
      <c r="D7" s="46"/>
      <c r="E7" s="46"/>
      <c r="F7" s="46"/>
      <c r="G7" s="46"/>
      <c r="H7" s="72"/>
      <c r="I7" s="69" t="s">
        <v>59</v>
      </c>
      <c r="J7" s="45">
        <v>4</v>
      </c>
      <c r="O7" s="361" t="s">
        <v>54</v>
      </c>
      <c r="P7" s="361"/>
      <c r="Q7" s="87">
        <v>0</v>
      </c>
      <c r="R7" s="26">
        <v>5</v>
      </c>
      <c r="S7" s="26">
        <v>9</v>
      </c>
      <c r="T7" s="26">
        <v>13</v>
      </c>
      <c r="U7" s="26">
        <v>18</v>
      </c>
    </row>
    <row r="8" spans="1:26" ht="32.25" customHeight="1" thickBot="1" x14ac:dyDescent="0.3">
      <c r="C8" s="47" t="s">
        <v>14</v>
      </c>
      <c r="D8" s="48">
        <f>SUM(D6:H6)</f>
        <v>0</v>
      </c>
      <c r="E8" s="49">
        <f>AVERAGE(D4:H4)</f>
        <v>1</v>
      </c>
      <c r="F8" s="50" t="s">
        <v>15</v>
      </c>
      <c r="G8" s="51"/>
      <c r="H8" s="52"/>
      <c r="I8" s="70" t="s">
        <v>60</v>
      </c>
      <c r="J8" s="53">
        <v>5</v>
      </c>
      <c r="O8" s="362" t="s">
        <v>55</v>
      </c>
      <c r="P8" s="362"/>
      <c r="Q8" s="87">
        <v>0</v>
      </c>
      <c r="R8" s="26">
        <v>5</v>
      </c>
      <c r="S8" s="26">
        <v>9</v>
      </c>
      <c r="T8" s="26">
        <v>13</v>
      </c>
      <c r="U8" s="26">
        <v>18</v>
      </c>
    </row>
    <row r="9" spans="1:26" ht="32.25" customHeight="1" x14ac:dyDescent="0.25">
      <c r="A9" s="46"/>
      <c r="B9" s="46"/>
      <c r="C9" s="46"/>
      <c r="D9" s="46"/>
      <c r="E9" s="46"/>
    </row>
    <row r="10" spans="1:26" ht="32.25" customHeight="1" thickBot="1" x14ac:dyDescent="0.3">
      <c r="A10" s="46"/>
      <c r="B10" s="363" t="s">
        <v>128</v>
      </c>
      <c r="C10" s="363"/>
      <c r="D10" s="364"/>
      <c r="E10" s="365" t="s">
        <v>129</v>
      </c>
      <c r="F10" s="366"/>
      <c r="G10" s="367"/>
      <c r="H10" s="368" t="s">
        <v>130</v>
      </c>
      <c r="I10" s="369"/>
      <c r="J10" s="370"/>
      <c r="K10" s="371" t="s">
        <v>131</v>
      </c>
      <c r="L10" s="372"/>
      <c r="M10" s="373"/>
      <c r="N10" s="374" t="s">
        <v>132</v>
      </c>
      <c r="O10" s="375"/>
      <c r="P10" s="375"/>
    </row>
    <row r="11" spans="1:26" ht="50.25" customHeight="1" thickBot="1" x14ac:dyDescent="0.3">
      <c r="A11" s="54" t="s">
        <v>35</v>
      </c>
      <c r="B11" s="157" t="s">
        <v>155</v>
      </c>
      <c r="C11" s="157" t="s">
        <v>156</v>
      </c>
      <c r="D11" s="157" t="s">
        <v>157</v>
      </c>
      <c r="E11" s="158" t="s">
        <v>158</v>
      </c>
      <c r="F11" s="158" t="s">
        <v>159</v>
      </c>
      <c r="G11" s="158" t="s">
        <v>160</v>
      </c>
      <c r="H11" s="59" t="s">
        <v>161</v>
      </c>
      <c r="I11" s="59" t="s">
        <v>162</v>
      </c>
      <c r="J11" s="59" t="s">
        <v>163</v>
      </c>
      <c r="K11" s="67" t="s">
        <v>164</v>
      </c>
      <c r="L11" s="67" t="s">
        <v>165</v>
      </c>
      <c r="M11" s="67" t="s">
        <v>166</v>
      </c>
      <c r="N11" s="66" t="s">
        <v>167</v>
      </c>
      <c r="O11" s="66" t="s">
        <v>168</v>
      </c>
      <c r="P11" s="66" t="s">
        <v>169</v>
      </c>
      <c r="Q11" s="83" t="s">
        <v>49</v>
      </c>
    </row>
    <row r="12" spans="1:26" ht="32.25" customHeight="1" thickBot="1" x14ac:dyDescent="0.3">
      <c r="A12" s="215">
        <v>46097</v>
      </c>
      <c r="B12" s="129" t="b">
        <v>0</v>
      </c>
      <c r="C12" s="130" t="b">
        <v>0</v>
      </c>
      <c r="D12" s="130" t="b">
        <v>0</v>
      </c>
      <c r="E12" s="130" t="b">
        <v>0</v>
      </c>
      <c r="F12" s="130" t="b">
        <v>0</v>
      </c>
      <c r="G12" s="130" t="b">
        <v>0</v>
      </c>
      <c r="H12" s="131" t="b">
        <v>0</v>
      </c>
      <c r="I12" s="131" t="b">
        <v>0</v>
      </c>
      <c r="J12" s="131" t="b">
        <v>0</v>
      </c>
      <c r="K12" s="131" t="b">
        <v>0</v>
      </c>
      <c r="L12" s="131" t="b">
        <v>0</v>
      </c>
      <c r="M12" s="131" t="b">
        <v>0</v>
      </c>
      <c r="N12" s="131" t="b">
        <v>0</v>
      </c>
      <c r="O12" s="131" t="b">
        <v>0</v>
      </c>
      <c r="P12" s="132" t="b">
        <v>0</v>
      </c>
      <c r="Q12" s="26">
        <f>COUNTIF(B12:P12,TRUE)</f>
        <v>0</v>
      </c>
      <c r="S12" s="351" t="s">
        <v>213</v>
      </c>
      <c r="U12" s="354" t="s">
        <v>228</v>
      </c>
      <c r="V12" s="354"/>
      <c r="W12" s="354"/>
      <c r="X12" s="354"/>
      <c r="Y12" s="354"/>
      <c r="Z12" s="354"/>
    </row>
    <row r="13" spans="1:26" ht="32.25" customHeight="1" thickTop="1" thickBot="1" x14ac:dyDescent="0.3">
      <c r="A13" s="215">
        <v>46098</v>
      </c>
      <c r="B13" s="133" t="b">
        <v>0</v>
      </c>
      <c r="C13" s="133" t="b">
        <v>0</v>
      </c>
      <c r="D13" s="133" t="b">
        <v>0</v>
      </c>
      <c r="E13" s="133" t="b">
        <v>0</v>
      </c>
      <c r="F13" s="133" t="b">
        <v>0</v>
      </c>
      <c r="G13" s="133" t="b">
        <v>0</v>
      </c>
      <c r="H13" s="134" t="b">
        <v>0</v>
      </c>
      <c r="I13" s="134" t="b">
        <v>0</v>
      </c>
      <c r="J13" s="134" t="b">
        <v>0</v>
      </c>
      <c r="K13" s="134" t="b">
        <v>0</v>
      </c>
      <c r="L13" s="134" t="b">
        <v>0</v>
      </c>
      <c r="M13" s="134" t="b">
        <v>0</v>
      </c>
      <c r="N13" s="134" t="b">
        <v>0</v>
      </c>
      <c r="O13" s="134" t="b">
        <v>0</v>
      </c>
      <c r="P13" s="135" t="b">
        <v>0</v>
      </c>
      <c r="Q13" s="26">
        <f t="shared" ref="Q13:Q18" si="0">COUNTIF(B13:P13,TRUE)</f>
        <v>0</v>
      </c>
      <c r="S13" s="352"/>
      <c r="U13" s="379" t="s">
        <v>229</v>
      </c>
      <c r="V13" s="379"/>
      <c r="W13" s="379"/>
      <c r="X13" s="379"/>
      <c r="Y13" s="379"/>
      <c r="Z13" s="379"/>
    </row>
    <row r="14" spans="1:26" ht="32.25" customHeight="1" thickTop="1" thickBot="1" x14ac:dyDescent="0.3">
      <c r="A14" s="215">
        <v>46099</v>
      </c>
      <c r="B14" s="133" t="b">
        <v>0</v>
      </c>
      <c r="C14" s="133" t="b">
        <v>0</v>
      </c>
      <c r="D14" s="133" t="b">
        <v>0</v>
      </c>
      <c r="E14" s="133" t="b">
        <v>0</v>
      </c>
      <c r="F14" s="133" t="b">
        <v>0</v>
      </c>
      <c r="G14" s="133" t="b">
        <v>0</v>
      </c>
      <c r="H14" s="134" t="b">
        <v>0</v>
      </c>
      <c r="I14" s="134" t="b">
        <v>0</v>
      </c>
      <c r="J14" s="134" t="b">
        <v>0</v>
      </c>
      <c r="K14" s="134" t="b">
        <v>0</v>
      </c>
      <c r="L14" s="134" t="b">
        <v>0</v>
      </c>
      <c r="M14" s="134" t="b">
        <v>0</v>
      </c>
      <c r="N14" s="134" t="b">
        <v>0</v>
      </c>
      <c r="O14" s="134" t="b">
        <v>0</v>
      </c>
      <c r="P14" s="135" t="b">
        <v>0</v>
      </c>
      <c r="Q14" s="26">
        <f t="shared" si="0"/>
        <v>0</v>
      </c>
      <c r="S14" s="352"/>
      <c r="U14" s="350"/>
      <c r="V14" s="350"/>
      <c r="W14" s="350"/>
      <c r="X14" s="350"/>
      <c r="Y14" s="350"/>
      <c r="Z14" s="350"/>
    </row>
    <row r="15" spans="1:26" ht="32.25" customHeight="1" thickTop="1" thickBot="1" x14ac:dyDescent="0.3">
      <c r="A15" s="215">
        <v>46100</v>
      </c>
      <c r="B15" s="133" t="b">
        <v>0</v>
      </c>
      <c r="C15" s="133" t="b">
        <v>0</v>
      </c>
      <c r="D15" s="133" t="b">
        <v>0</v>
      </c>
      <c r="E15" s="133" t="b">
        <v>0</v>
      </c>
      <c r="F15" s="133" t="b">
        <v>0</v>
      </c>
      <c r="G15" s="133" t="b">
        <v>0</v>
      </c>
      <c r="H15" s="134" t="b">
        <v>0</v>
      </c>
      <c r="I15" s="134" t="b">
        <v>0</v>
      </c>
      <c r="J15" s="134" t="b">
        <v>0</v>
      </c>
      <c r="K15" s="134" t="b">
        <v>0</v>
      </c>
      <c r="L15" s="134" t="b">
        <v>0</v>
      </c>
      <c r="M15" s="134" t="b">
        <v>0</v>
      </c>
      <c r="N15" s="134" t="b">
        <v>0</v>
      </c>
      <c r="O15" s="134" t="b">
        <v>0</v>
      </c>
      <c r="P15" s="135" t="b">
        <v>0</v>
      </c>
      <c r="Q15" s="26">
        <f t="shared" si="0"/>
        <v>0</v>
      </c>
      <c r="S15" s="352"/>
      <c r="U15" s="350"/>
      <c r="V15" s="350"/>
      <c r="W15" s="350"/>
      <c r="X15" s="350"/>
      <c r="Y15" s="350"/>
      <c r="Z15" s="350"/>
    </row>
    <row r="16" spans="1:26" ht="32.25" customHeight="1" thickTop="1" thickBot="1" x14ac:dyDescent="0.3">
      <c r="A16" s="215">
        <v>46101</v>
      </c>
      <c r="B16" s="133" t="b">
        <v>0</v>
      </c>
      <c r="C16" s="133" t="b">
        <v>0</v>
      </c>
      <c r="D16" s="133" t="b">
        <v>0</v>
      </c>
      <c r="E16" s="133" t="b">
        <v>0</v>
      </c>
      <c r="F16" s="133" t="b">
        <v>0</v>
      </c>
      <c r="G16" s="133" t="b">
        <v>0</v>
      </c>
      <c r="H16" s="134" t="b">
        <v>0</v>
      </c>
      <c r="I16" s="134" t="b">
        <v>0</v>
      </c>
      <c r="J16" s="134" t="b">
        <v>0</v>
      </c>
      <c r="K16" s="134" t="b">
        <v>0</v>
      </c>
      <c r="L16" s="134" t="b">
        <v>0</v>
      </c>
      <c r="M16" s="134" t="b">
        <v>0</v>
      </c>
      <c r="N16" s="134" t="b">
        <v>0</v>
      </c>
      <c r="O16" s="134" t="b">
        <v>0</v>
      </c>
      <c r="P16" s="135" t="b">
        <v>0</v>
      </c>
      <c r="Q16" s="26">
        <f t="shared" si="0"/>
        <v>0</v>
      </c>
      <c r="S16" s="352"/>
      <c r="U16" s="350"/>
      <c r="V16" s="350"/>
      <c r="W16" s="350"/>
      <c r="X16" s="350"/>
      <c r="Y16" s="350"/>
      <c r="Z16" s="350"/>
    </row>
    <row r="17" spans="1:26" ht="32.25" customHeight="1" thickTop="1" thickBot="1" x14ac:dyDescent="0.3">
      <c r="A17" s="215">
        <v>46102</v>
      </c>
      <c r="B17" s="133" t="b">
        <v>0</v>
      </c>
      <c r="C17" s="133" t="b">
        <v>0</v>
      </c>
      <c r="D17" s="133" t="b">
        <v>0</v>
      </c>
      <c r="E17" s="133" t="b">
        <v>0</v>
      </c>
      <c r="F17" s="133" t="b">
        <v>0</v>
      </c>
      <c r="G17" s="133" t="b">
        <v>0</v>
      </c>
      <c r="H17" s="134" t="b">
        <v>0</v>
      </c>
      <c r="I17" s="134" t="b">
        <v>0</v>
      </c>
      <c r="J17" s="134" t="b">
        <v>0</v>
      </c>
      <c r="K17" s="134" t="b">
        <v>0</v>
      </c>
      <c r="L17" s="134" t="b">
        <v>0</v>
      </c>
      <c r="M17" s="134" t="b">
        <v>0</v>
      </c>
      <c r="N17" s="134" t="b">
        <v>0</v>
      </c>
      <c r="O17" s="134" t="b">
        <v>0</v>
      </c>
      <c r="P17" s="135" t="b">
        <v>0</v>
      </c>
      <c r="Q17" s="26">
        <f t="shared" si="0"/>
        <v>0</v>
      </c>
      <c r="S17" s="352"/>
      <c r="U17" s="350"/>
      <c r="V17" s="350"/>
      <c r="W17" s="350"/>
      <c r="X17" s="350"/>
      <c r="Y17" s="350"/>
      <c r="Z17" s="350"/>
    </row>
    <row r="18" spans="1:26" ht="32.25" customHeight="1" thickTop="1" thickBot="1" x14ac:dyDescent="0.3">
      <c r="A18" s="215">
        <v>46103</v>
      </c>
      <c r="B18" s="133" t="b">
        <v>0</v>
      </c>
      <c r="C18" s="133" t="b">
        <v>0</v>
      </c>
      <c r="D18" s="133" t="b">
        <v>0</v>
      </c>
      <c r="E18" s="133" t="b">
        <v>0</v>
      </c>
      <c r="F18" s="133" t="b">
        <v>0</v>
      </c>
      <c r="G18" s="133" t="b">
        <v>0</v>
      </c>
      <c r="H18" s="134" t="b">
        <v>0</v>
      </c>
      <c r="I18" s="134" t="b">
        <v>0</v>
      </c>
      <c r="J18" s="134" t="b">
        <v>0</v>
      </c>
      <c r="K18" s="134" t="b">
        <v>0</v>
      </c>
      <c r="L18" s="134" t="b">
        <v>0</v>
      </c>
      <c r="M18" s="134" t="b">
        <v>0</v>
      </c>
      <c r="N18" s="134" t="b">
        <v>0</v>
      </c>
      <c r="O18" s="134" t="b">
        <v>0</v>
      </c>
      <c r="P18" s="135" t="b">
        <v>0</v>
      </c>
      <c r="Q18" s="84">
        <f t="shared" si="0"/>
        <v>0</v>
      </c>
      <c r="S18" s="353"/>
      <c r="U18" s="350"/>
      <c r="V18" s="350"/>
      <c r="W18" s="350"/>
      <c r="X18" s="350"/>
      <c r="Y18" s="350"/>
      <c r="Z18" s="350"/>
    </row>
    <row r="19" spans="1:26" ht="32.25" customHeight="1" thickBot="1" x14ac:dyDescent="0.3">
      <c r="A19" s="78" t="s">
        <v>50</v>
      </c>
      <c r="B19" s="56">
        <f t="shared" ref="B19:P19" si="1">COUNTIF(B12:B18,TRUE)</f>
        <v>0</v>
      </c>
      <c r="C19" s="56">
        <f t="shared" si="1"/>
        <v>0</v>
      </c>
      <c r="D19" s="56">
        <f t="shared" si="1"/>
        <v>0</v>
      </c>
      <c r="E19" s="56">
        <f t="shared" si="1"/>
        <v>0</v>
      </c>
      <c r="F19" s="56">
        <f t="shared" si="1"/>
        <v>0</v>
      </c>
      <c r="G19" s="56">
        <f t="shared" si="1"/>
        <v>0</v>
      </c>
      <c r="H19" s="77">
        <f t="shared" si="1"/>
        <v>0</v>
      </c>
      <c r="I19" s="56">
        <f t="shared" si="1"/>
        <v>0</v>
      </c>
      <c r="J19" s="56">
        <f t="shared" si="1"/>
        <v>0</v>
      </c>
      <c r="K19" s="56">
        <f t="shared" si="1"/>
        <v>0</v>
      </c>
      <c r="L19" s="56">
        <f t="shared" si="1"/>
        <v>0</v>
      </c>
      <c r="M19" s="56">
        <f t="shared" si="1"/>
        <v>0</v>
      </c>
      <c r="N19" s="56">
        <f t="shared" si="1"/>
        <v>0</v>
      </c>
      <c r="O19" s="77">
        <f t="shared" si="1"/>
        <v>0</v>
      </c>
      <c r="P19" s="81">
        <f t="shared" si="1"/>
        <v>0</v>
      </c>
      <c r="Q19" s="214">
        <f>AVERAGEA(B19:P19)</f>
        <v>0</v>
      </c>
      <c r="U19" s="350"/>
      <c r="V19" s="350"/>
      <c r="W19" s="350"/>
      <c r="X19" s="350"/>
      <c r="Y19" s="350"/>
      <c r="Z19" s="350"/>
    </row>
    <row r="20" spans="1:26" ht="32.25" customHeight="1" thickTop="1" thickBot="1" x14ac:dyDescent="0.3">
      <c r="A20" s="55" t="s">
        <v>66</v>
      </c>
      <c r="B20" s="44">
        <f>COUNTIF(B12:B18,TRUE)</f>
        <v>0</v>
      </c>
      <c r="C20" s="44">
        <f t="shared" ref="C20:P20" si="2">COUNTIF(C12:C18,TRUE)</f>
        <v>0</v>
      </c>
      <c r="D20" s="44">
        <f t="shared" si="2"/>
        <v>0</v>
      </c>
      <c r="E20" s="44">
        <f t="shared" si="2"/>
        <v>0</v>
      </c>
      <c r="F20" s="44">
        <f t="shared" si="2"/>
        <v>0</v>
      </c>
      <c r="G20" s="44">
        <f t="shared" si="2"/>
        <v>0</v>
      </c>
      <c r="H20" s="44">
        <f t="shared" si="2"/>
        <v>0</v>
      </c>
      <c r="I20" s="44">
        <f t="shared" si="2"/>
        <v>0</v>
      </c>
      <c r="J20" s="44">
        <f t="shared" si="2"/>
        <v>0</v>
      </c>
      <c r="K20" s="44">
        <f t="shared" si="2"/>
        <v>0</v>
      </c>
      <c r="L20" s="44">
        <f t="shared" si="2"/>
        <v>0</v>
      </c>
      <c r="M20" s="44">
        <f t="shared" si="2"/>
        <v>0</v>
      </c>
      <c r="N20" s="44">
        <f t="shared" si="2"/>
        <v>0</v>
      </c>
      <c r="O20" s="44">
        <f t="shared" si="2"/>
        <v>0</v>
      </c>
      <c r="P20" s="82">
        <f t="shared" si="2"/>
        <v>0</v>
      </c>
      <c r="Q20" s="86">
        <f>AVERAGEA(B20:P20)</f>
        <v>0</v>
      </c>
    </row>
    <row r="21" spans="1:26" ht="32.25" customHeight="1" thickBot="1" x14ac:dyDescent="0.3">
      <c r="A21" s="55"/>
      <c r="B21" s="44"/>
      <c r="C21" s="56">
        <f>SUM(B19:D19)</f>
        <v>0</v>
      </c>
      <c r="D21" s="44"/>
      <c r="E21" s="44"/>
      <c r="F21" s="56">
        <f>SUM(E19:G19)</f>
        <v>0</v>
      </c>
      <c r="G21" s="44"/>
      <c r="H21" s="44"/>
      <c r="I21" s="56">
        <f>SUM(H19:J19)</f>
        <v>0</v>
      </c>
      <c r="J21" s="44"/>
      <c r="K21" s="44"/>
      <c r="L21" s="56">
        <f>SUM(K19:M19)</f>
        <v>0</v>
      </c>
      <c r="M21" s="44"/>
      <c r="N21" s="44"/>
      <c r="O21" s="56">
        <f>SUM(N19:P19)</f>
        <v>0</v>
      </c>
      <c r="P21" s="82"/>
      <c r="Q21" s="86"/>
    </row>
  </sheetData>
  <sheetProtection algorithmName="SHA-512" hashValue="PQPxmzWlJIzU5Au86A08JB242RMqzhWnlNK27QJF+OcILckMweG1daDSCYD2jozGOpPYVwT0ZSuB9Jvrz7wbpQ==" saltValue="rkwwP6m1KBy2c86J1roSUg==" spinCount="100000" sheet="1" objects="1" scenarios="1"/>
  <mergeCells count="16">
    <mergeCell ref="U13:Z19"/>
    <mergeCell ref="S12:S18"/>
    <mergeCell ref="U12:Z12"/>
    <mergeCell ref="A1:X1"/>
    <mergeCell ref="O3:P3"/>
    <mergeCell ref="O4:P4"/>
    <mergeCell ref="O5:P5"/>
    <mergeCell ref="O6:P6"/>
    <mergeCell ref="O7:P7"/>
    <mergeCell ref="O8:P8"/>
    <mergeCell ref="B10:D10"/>
    <mergeCell ref="E10:G10"/>
    <mergeCell ref="H10:J10"/>
    <mergeCell ref="K10:M10"/>
    <mergeCell ref="N10:P10"/>
    <mergeCell ref="C2:J2"/>
  </mergeCells>
  <phoneticPr fontId="5" type="noConversion"/>
  <conditionalFormatting sqref="A12:A18">
    <cfRule type="timePeriod" dxfId="1" priority="14" timePeriod="today">
      <formula>FLOOR(A12,1)=TODAY()</formula>
    </cfRule>
  </conditionalFormatting>
  <conditionalFormatting sqref="B19:P19">
    <cfRule type="colorScale" priority="45">
      <colorScale>
        <cfvo type="min"/>
        <cfvo type="percentile" val="50"/>
        <cfvo type="max"/>
        <color rgb="FFF8696B"/>
        <color rgb="FFFFEB84"/>
        <color rgb="FF63BE7B"/>
      </colorScale>
    </cfRule>
  </conditionalFormatting>
  <conditionalFormatting sqref="B20:Q20">
    <cfRule type="iconSet" priority="12">
      <iconSet iconSet="5Rating" showValue="0">
        <cfvo type="percent" val="0"/>
        <cfvo type="percent" val="20" gte="0"/>
        <cfvo type="percent" val="40" gte="0"/>
        <cfvo type="percent" val="60" gte="0"/>
        <cfvo type="percent" val="80" gte="0"/>
      </iconSet>
    </cfRule>
  </conditionalFormatting>
  <conditionalFormatting sqref="F19:G19 M19:N19">
    <cfRule type="colorScale" priority="47">
      <colorScale>
        <cfvo type="min"/>
        <cfvo type="percentile" val="50"/>
        <cfvo type="max"/>
        <color rgb="FF63BE7B"/>
        <color rgb="FFFFEB84"/>
        <color rgb="FFF8696B"/>
      </colorScale>
    </cfRule>
  </conditionalFormatting>
  <conditionalFormatting sqref="I3">
    <cfRule type="iconSet" priority="11">
      <iconSet iconSet="3Symbols" showValue="0">
        <cfvo type="percent" val="0"/>
        <cfvo type="percent" val="33" gte="0"/>
        <cfvo type="percent" val="67" gte="0"/>
      </iconSet>
    </cfRule>
  </conditionalFormatting>
  <conditionalFormatting sqref="J3">
    <cfRule type="iconSet" priority="9">
      <iconSet iconSet="5Rating" showValue="0">
        <cfvo type="percent" val="0"/>
        <cfvo type="percent" val="20" gte="0"/>
        <cfvo type="percent" val="40" gte="0"/>
        <cfvo type="percent" val="60" gte="0"/>
        <cfvo type="percent" val="80" gte="0"/>
      </iconSet>
    </cfRule>
  </conditionalFormatting>
  <conditionalFormatting sqref="J4:J8">
    <cfRule type="colorScale" priority="27">
      <colorScale>
        <cfvo type="min"/>
        <cfvo type="percentile" val="50"/>
        <cfvo type="max"/>
        <color rgb="FFF8696B"/>
        <color rgb="FFFFEB84"/>
        <color rgb="FF63BE7B"/>
      </colorScale>
    </cfRule>
  </conditionalFormatting>
  <conditionalFormatting sqref="L4:L8">
    <cfRule type="colorScale" priority="15">
      <colorScale>
        <cfvo type="min"/>
        <cfvo type="percentile" val="50"/>
        <cfvo type="max"/>
        <color rgb="FFF8696B"/>
        <color rgb="FFFFEB84"/>
        <color rgb="FF63BE7B"/>
      </colorScale>
    </cfRule>
  </conditionalFormatting>
  <conditionalFormatting sqref="O3 Q3:U3 U11:AC11">
    <cfRule type="timePeriod" dxfId="0" priority="23" timePeriod="today">
      <formula>FLOOR(O3,1)=TODAY()</formula>
    </cfRule>
  </conditionalFormatting>
  <conditionalFormatting sqref="Q12:Q18">
    <cfRule type="iconSet" priority="13">
      <iconSet iconSet="3Symbols" showValue="0">
        <cfvo type="percent" val="0"/>
        <cfvo type="num" val="5"/>
        <cfvo type="num" val="10"/>
      </iconSet>
    </cfRule>
  </conditionalFormatting>
  <conditionalFormatting sqref="Q19">
    <cfRule type="iconSet" priority="1">
      <iconSet iconSet="5Quarters" showValue="0">
        <cfvo type="percent" val="0"/>
        <cfvo type="num" val="1.4"/>
        <cfvo type="num" val="2.8"/>
        <cfvo type="num" val="4.2"/>
        <cfvo type="num" val="5.6"/>
      </iconSet>
    </cfRule>
  </conditionalFormatting>
  <conditionalFormatting sqref="Q21">
    <cfRule type="iconSet" priority="8">
      <iconSet iconSet="5Rating" showValue="0">
        <cfvo type="percent" val="0"/>
        <cfvo type="percent" val="20" gte="0"/>
        <cfvo type="percent" val="40" gte="0"/>
        <cfvo type="percent" val="60" gte="0"/>
        <cfvo type="percent" val="80" gte="0"/>
      </iconSet>
    </cfRule>
  </conditionalFormatting>
  <conditionalFormatting sqref="Q3:U3">
    <cfRule type="colorScale" priority="29">
      <colorScale>
        <cfvo type="min"/>
        <cfvo type="percentile" val="50"/>
        <cfvo type="max"/>
        <color rgb="FFF8696B"/>
        <color rgb="FFFFEB84"/>
        <color rgb="FF63BE7B"/>
      </colorScale>
    </cfRule>
  </conditionalFormatting>
  <pageMargins left="0.7" right="0.7" top="0.75" bottom="0.75" header="0.3" footer="0.3"/>
  <pageSetup paperSize="9" orientation="portrait" horizontalDpi="4294967293" r:id="rId1"/>
  <ignoredErrors>
    <ignoredError sqref="Q4:U4"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D78E-0D53-4A68-B803-39BBB451A221}">
  <sheetPr codeName="Foglio4">
    <tabColor theme="7" tint="0.39997558519241921"/>
  </sheetPr>
  <dimension ref="A1:AK53"/>
  <sheetViews>
    <sheetView workbookViewId="0">
      <pane ySplit="1" topLeftCell="A40" activePane="bottomLeft" state="frozen"/>
      <selection pane="bottomLeft" activeCell="I48" sqref="I48"/>
    </sheetView>
  </sheetViews>
  <sheetFormatPr defaultRowHeight="15" x14ac:dyDescent="0.25"/>
  <cols>
    <col min="1" max="3" width="9.140625" style="125"/>
    <col min="4" max="4" width="9.140625" style="125" customWidth="1"/>
    <col min="5" max="7" width="9.140625" style="125"/>
    <col min="8" max="13" width="9.140625" style="128"/>
    <col min="14" max="14" width="0" style="128" hidden="1" customWidth="1"/>
    <col min="15" max="16" width="9.140625" style="125"/>
    <col min="17" max="17" width="10.85546875" style="125" customWidth="1"/>
    <col min="18" max="19" width="9.140625" style="125"/>
    <col min="20" max="20" width="10.5703125" style="125" customWidth="1"/>
    <col min="21" max="21" width="9.140625" style="125"/>
    <col min="22" max="22" width="10.140625" style="125" customWidth="1"/>
    <col min="23" max="25" width="9.140625" style="125"/>
    <col min="26" max="26" width="9.5703125" style="125" customWidth="1"/>
    <col min="27" max="27" width="9.140625" style="125"/>
    <col min="28" max="28" width="9.7109375" style="125" customWidth="1"/>
    <col min="29" max="16384" width="9.140625" style="125"/>
  </cols>
  <sheetData>
    <row r="1" spans="1:37" ht="39" customHeight="1" thickBot="1" x14ac:dyDescent="0.3">
      <c r="C1" s="195"/>
      <c r="D1" s="196" t="s">
        <v>21</v>
      </c>
      <c r="E1" s="196" t="s">
        <v>22</v>
      </c>
      <c r="H1" s="197" t="s">
        <v>100</v>
      </c>
      <c r="I1" s="198" t="s">
        <v>0</v>
      </c>
      <c r="J1" s="199" t="s">
        <v>101</v>
      </c>
      <c r="K1" s="200" t="s">
        <v>102</v>
      </c>
      <c r="L1" s="201" t="s">
        <v>103</v>
      </c>
      <c r="M1" s="202" t="s">
        <v>134</v>
      </c>
      <c r="N1" s="203" t="s">
        <v>1</v>
      </c>
      <c r="Q1" s="204" t="s">
        <v>135</v>
      </c>
      <c r="R1" s="205" t="s">
        <v>122</v>
      </c>
      <c r="S1" s="206" t="s">
        <v>123</v>
      </c>
      <c r="T1" s="207" t="s">
        <v>124</v>
      </c>
      <c r="U1" s="208" t="s">
        <v>133</v>
      </c>
      <c r="W1" s="209" t="s">
        <v>155</v>
      </c>
      <c r="X1" s="209" t="s">
        <v>156</v>
      </c>
      <c r="Y1" s="209" t="s">
        <v>157</v>
      </c>
      <c r="Z1" s="210" t="s">
        <v>158</v>
      </c>
      <c r="AA1" s="210" t="s">
        <v>159</v>
      </c>
      <c r="AB1" s="210" t="s">
        <v>160</v>
      </c>
      <c r="AC1" s="211" t="s">
        <v>161</v>
      </c>
      <c r="AD1" s="211" t="s">
        <v>162</v>
      </c>
      <c r="AE1" s="211" t="s">
        <v>163</v>
      </c>
      <c r="AF1" s="212" t="s">
        <v>164</v>
      </c>
      <c r="AG1" s="212" t="s">
        <v>165</v>
      </c>
      <c r="AH1" s="212" t="s">
        <v>166</v>
      </c>
      <c r="AI1" s="213" t="s">
        <v>167</v>
      </c>
      <c r="AJ1" s="213" t="s">
        <v>168</v>
      </c>
      <c r="AK1" s="213" t="s">
        <v>169</v>
      </c>
    </row>
    <row r="2" spans="1:37" ht="39" customHeight="1" thickBot="1" x14ac:dyDescent="0.3">
      <c r="A2" s="376" t="s">
        <v>191</v>
      </c>
      <c r="B2" s="377"/>
      <c r="C2" s="136">
        <v>1</v>
      </c>
      <c r="D2" s="137"/>
      <c r="E2" s="137"/>
      <c r="G2" s="138">
        <v>1</v>
      </c>
      <c r="H2" s="127"/>
      <c r="I2" s="127"/>
      <c r="J2" s="127"/>
      <c r="K2" s="127"/>
      <c r="L2" s="127"/>
      <c r="M2" s="127"/>
      <c r="N2" s="127"/>
      <c r="P2" s="138">
        <v>1</v>
      </c>
      <c r="Q2" s="127"/>
      <c r="R2" s="127"/>
      <c r="S2" s="127"/>
      <c r="T2" s="127"/>
      <c r="U2" s="127"/>
      <c r="V2" s="138">
        <v>1</v>
      </c>
      <c r="W2" s="176"/>
      <c r="X2" s="176"/>
      <c r="Y2" s="176"/>
      <c r="Z2" s="176"/>
      <c r="AA2" s="176"/>
      <c r="AB2" s="176"/>
      <c r="AC2" s="176"/>
      <c r="AD2" s="176"/>
      <c r="AE2" s="176"/>
      <c r="AF2" s="176"/>
      <c r="AG2" s="176"/>
      <c r="AH2" s="176"/>
      <c r="AI2" s="176"/>
      <c r="AJ2" s="176"/>
      <c r="AK2" s="176"/>
    </row>
    <row r="3" spans="1:37" ht="39" customHeight="1" x14ac:dyDescent="0.25">
      <c r="C3" s="139">
        <v>2</v>
      </c>
      <c r="D3" s="128"/>
      <c r="E3" s="137"/>
      <c r="G3" s="140">
        <v>2</v>
      </c>
      <c r="H3" s="127"/>
      <c r="I3" s="127"/>
      <c r="J3" s="127"/>
      <c r="K3" s="127"/>
      <c r="L3" s="127"/>
      <c r="M3" s="127"/>
      <c r="N3" s="127"/>
      <c r="P3" s="140">
        <v>2</v>
      </c>
      <c r="Q3" s="127"/>
      <c r="R3" s="127"/>
      <c r="S3" s="127"/>
      <c r="T3" s="127"/>
      <c r="U3" s="127"/>
      <c r="V3" s="140">
        <v>2</v>
      </c>
      <c r="W3" s="176"/>
      <c r="X3" s="176"/>
      <c r="Y3" s="176"/>
      <c r="Z3" s="176"/>
      <c r="AA3" s="176"/>
      <c r="AB3" s="176"/>
      <c r="AC3" s="176"/>
      <c r="AD3" s="176"/>
      <c r="AE3" s="176"/>
      <c r="AF3" s="176"/>
      <c r="AG3" s="176"/>
      <c r="AH3" s="176"/>
      <c r="AI3" s="176"/>
      <c r="AJ3" s="176"/>
      <c r="AK3" s="176"/>
    </row>
    <row r="4" spans="1:37" ht="39" customHeight="1" thickBot="1" x14ac:dyDescent="0.3">
      <c r="C4" s="139">
        <v>3</v>
      </c>
      <c r="D4" s="128"/>
      <c r="E4" s="137"/>
      <c r="G4" s="140">
        <v>3</v>
      </c>
      <c r="H4" s="127"/>
      <c r="I4" s="127"/>
      <c r="J4" s="127"/>
      <c r="K4" s="127"/>
      <c r="L4" s="127"/>
      <c r="M4" s="127"/>
      <c r="N4" s="127"/>
      <c r="P4" s="140">
        <v>3</v>
      </c>
      <c r="Q4" s="127"/>
      <c r="R4" s="127"/>
      <c r="S4" s="127"/>
      <c r="T4" s="127"/>
      <c r="U4" s="127"/>
      <c r="V4" s="140">
        <v>3</v>
      </c>
      <c r="W4" s="176"/>
      <c r="X4" s="176"/>
      <c r="Y4" s="176"/>
      <c r="Z4" s="176"/>
      <c r="AA4" s="176"/>
      <c r="AB4" s="176"/>
      <c r="AC4" s="176"/>
      <c r="AD4" s="176"/>
      <c r="AE4" s="176"/>
      <c r="AF4" s="176"/>
      <c r="AG4" s="176"/>
      <c r="AH4" s="176"/>
      <c r="AI4" s="176"/>
      <c r="AJ4" s="176"/>
      <c r="AK4" s="176"/>
    </row>
    <row r="5" spans="1:37" ht="39" customHeight="1" x14ac:dyDescent="0.25">
      <c r="C5" s="136">
        <v>4</v>
      </c>
      <c r="D5" s="128"/>
      <c r="E5" s="137"/>
      <c r="G5" s="138">
        <v>4</v>
      </c>
      <c r="H5" s="127"/>
      <c r="I5" s="127"/>
      <c r="J5" s="127"/>
      <c r="K5" s="127"/>
      <c r="L5" s="127"/>
      <c r="M5" s="127"/>
      <c r="N5" s="127"/>
      <c r="P5" s="138">
        <v>4</v>
      </c>
      <c r="Q5" s="127"/>
      <c r="R5" s="127"/>
      <c r="S5" s="127"/>
      <c r="T5" s="127"/>
      <c r="U5" s="127"/>
      <c r="V5" s="138">
        <v>4</v>
      </c>
      <c r="W5" s="176"/>
      <c r="X5" s="176"/>
      <c r="Y5" s="176"/>
      <c r="Z5" s="176"/>
      <c r="AA5" s="176"/>
      <c r="AB5" s="176"/>
      <c r="AC5" s="176"/>
      <c r="AD5" s="176"/>
      <c r="AE5" s="176"/>
      <c r="AF5" s="176"/>
      <c r="AG5" s="176"/>
      <c r="AH5" s="176"/>
      <c r="AI5" s="176"/>
      <c r="AJ5" s="176"/>
      <c r="AK5" s="176"/>
    </row>
    <row r="6" spans="1:37" ht="39" customHeight="1" x14ac:dyDescent="0.25">
      <c r="C6" s="139">
        <v>5</v>
      </c>
      <c r="D6" s="128"/>
      <c r="E6" s="137"/>
      <c r="G6" s="140">
        <v>5</v>
      </c>
      <c r="H6" s="127"/>
      <c r="I6" s="127"/>
      <c r="J6" s="127"/>
      <c r="K6" s="127"/>
      <c r="L6" s="127"/>
      <c r="M6" s="127"/>
      <c r="N6" s="127"/>
      <c r="P6" s="140">
        <v>5</v>
      </c>
      <c r="Q6" s="127"/>
      <c r="R6" s="127"/>
      <c r="S6" s="127"/>
      <c r="T6" s="127"/>
      <c r="U6" s="127"/>
      <c r="V6" s="140">
        <v>5</v>
      </c>
      <c r="W6" s="176"/>
      <c r="X6" s="176"/>
      <c r="Y6" s="176"/>
      <c r="Z6" s="176"/>
      <c r="AA6" s="176"/>
      <c r="AB6" s="176"/>
      <c r="AC6" s="176"/>
      <c r="AD6" s="176"/>
      <c r="AE6" s="176"/>
      <c r="AF6" s="176"/>
      <c r="AG6" s="176"/>
      <c r="AH6" s="176"/>
      <c r="AI6" s="176"/>
      <c r="AJ6" s="176"/>
      <c r="AK6" s="176"/>
    </row>
    <row r="7" spans="1:37" ht="39" customHeight="1" thickBot="1" x14ac:dyDescent="0.3">
      <c r="C7" s="139">
        <v>6</v>
      </c>
      <c r="D7" s="128"/>
      <c r="E7" s="137"/>
      <c r="G7" s="140">
        <v>6</v>
      </c>
      <c r="H7" s="127"/>
      <c r="I7" s="127"/>
      <c r="J7" s="127"/>
      <c r="K7" s="127"/>
      <c r="L7" s="127"/>
      <c r="M7" s="127"/>
      <c r="N7" s="127"/>
      <c r="P7" s="140">
        <v>6</v>
      </c>
      <c r="Q7" s="127"/>
      <c r="R7" s="127"/>
      <c r="S7" s="127"/>
      <c r="T7" s="127"/>
      <c r="U7" s="127"/>
      <c r="V7" s="140">
        <v>6</v>
      </c>
      <c r="W7" s="176"/>
      <c r="X7" s="176"/>
      <c r="Y7" s="176"/>
      <c r="Z7" s="176"/>
      <c r="AA7" s="176"/>
      <c r="AB7" s="176"/>
      <c r="AC7" s="176"/>
      <c r="AD7" s="176"/>
      <c r="AE7" s="176"/>
      <c r="AF7" s="176"/>
      <c r="AG7" s="176"/>
      <c r="AH7" s="176"/>
      <c r="AI7" s="176"/>
      <c r="AJ7" s="176"/>
      <c r="AK7" s="176"/>
    </row>
    <row r="8" spans="1:37" ht="39" customHeight="1" x14ac:dyDescent="0.25">
      <c r="C8" s="136">
        <v>7</v>
      </c>
      <c r="D8" s="128"/>
      <c r="E8" s="137"/>
      <c r="G8" s="138">
        <v>7</v>
      </c>
      <c r="H8" s="127"/>
      <c r="I8" s="127"/>
      <c r="J8" s="127"/>
      <c r="K8" s="127"/>
      <c r="L8" s="127"/>
      <c r="M8" s="127"/>
      <c r="N8" s="127"/>
      <c r="P8" s="138">
        <v>7</v>
      </c>
      <c r="Q8" s="127"/>
      <c r="R8" s="127"/>
      <c r="S8" s="127"/>
      <c r="T8" s="127"/>
      <c r="U8" s="127"/>
      <c r="V8" s="138">
        <v>7</v>
      </c>
      <c r="W8" s="176"/>
      <c r="X8" s="176"/>
      <c r="Y8" s="176"/>
      <c r="Z8" s="176"/>
      <c r="AA8" s="176"/>
      <c r="AB8" s="176"/>
      <c r="AC8" s="176"/>
      <c r="AD8" s="176"/>
      <c r="AE8" s="176"/>
      <c r="AF8" s="176"/>
      <c r="AG8" s="176"/>
      <c r="AH8" s="176"/>
      <c r="AI8" s="176"/>
      <c r="AJ8" s="176"/>
      <c r="AK8" s="176"/>
    </row>
    <row r="9" spans="1:37" ht="39" customHeight="1" x14ac:dyDescent="0.25">
      <c r="C9" s="139">
        <v>8</v>
      </c>
      <c r="D9" s="128"/>
      <c r="E9" s="137"/>
      <c r="G9" s="140">
        <v>8</v>
      </c>
      <c r="H9" s="127"/>
      <c r="I9" s="127"/>
      <c r="J9" s="127"/>
      <c r="K9" s="127"/>
      <c r="L9" s="127"/>
      <c r="M9" s="127"/>
      <c r="N9" s="127"/>
      <c r="P9" s="140">
        <v>8</v>
      </c>
      <c r="Q9" s="127"/>
      <c r="R9" s="127"/>
      <c r="S9" s="127"/>
      <c r="T9" s="127"/>
      <c r="U9" s="127"/>
      <c r="V9" s="140">
        <v>8</v>
      </c>
      <c r="W9" s="176"/>
      <c r="X9" s="176"/>
      <c r="Y9" s="176"/>
      <c r="Z9" s="176"/>
      <c r="AA9" s="176"/>
      <c r="AB9" s="176"/>
      <c r="AC9" s="176"/>
      <c r="AD9" s="176"/>
      <c r="AE9" s="176"/>
      <c r="AF9" s="176"/>
      <c r="AG9" s="176"/>
      <c r="AH9" s="176"/>
      <c r="AI9" s="176"/>
      <c r="AJ9" s="176"/>
      <c r="AK9" s="176"/>
    </row>
    <row r="10" spans="1:37" ht="39" customHeight="1" thickBot="1" x14ac:dyDescent="0.3">
      <c r="C10" s="139">
        <v>9</v>
      </c>
      <c r="D10" s="128"/>
      <c r="E10" s="137"/>
      <c r="G10" s="140">
        <v>9</v>
      </c>
      <c r="H10" s="127"/>
      <c r="I10" s="127"/>
      <c r="J10" s="127"/>
      <c r="K10" s="127"/>
      <c r="L10" s="127"/>
      <c r="M10" s="127"/>
      <c r="N10" s="127"/>
      <c r="P10" s="140">
        <v>9</v>
      </c>
      <c r="Q10" s="127"/>
      <c r="R10" s="127"/>
      <c r="S10" s="127"/>
      <c r="T10" s="127"/>
      <c r="U10" s="127"/>
      <c r="V10" s="140">
        <v>9</v>
      </c>
      <c r="W10" s="176"/>
      <c r="X10" s="176"/>
      <c r="Y10" s="176"/>
      <c r="Z10" s="176"/>
      <c r="AA10" s="176"/>
      <c r="AB10" s="176"/>
      <c r="AC10" s="176"/>
      <c r="AD10" s="176"/>
      <c r="AE10" s="176"/>
      <c r="AF10" s="176"/>
      <c r="AG10" s="176"/>
      <c r="AH10" s="176"/>
      <c r="AI10" s="176"/>
      <c r="AJ10" s="176"/>
      <c r="AK10" s="176"/>
    </row>
    <row r="11" spans="1:37" ht="39" customHeight="1" thickBot="1" x14ac:dyDescent="0.3">
      <c r="B11" s="141"/>
      <c r="C11" s="136">
        <v>10</v>
      </c>
      <c r="D11" s="140"/>
      <c r="E11" s="137"/>
      <c r="F11" s="142"/>
      <c r="G11" s="138">
        <v>10</v>
      </c>
      <c r="H11" s="127"/>
      <c r="I11" s="127"/>
      <c r="J11" s="127"/>
      <c r="K11" s="127"/>
      <c r="L11" s="127"/>
      <c r="M11" s="127"/>
      <c r="N11" s="143"/>
      <c r="P11" s="138">
        <v>10</v>
      </c>
      <c r="Q11" s="127"/>
      <c r="R11" s="127"/>
      <c r="S11" s="127"/>
      <c r="T11" s="127"/>
      <c r="U11" s="127"/>
      <c r="V11" s="138">
        <v>10</v>
      </c>
      <c r="W11" s="176"/>
      <c r="X11" s="176"/>
      <c r="Y11" s="176"/>
      <c r="Z11" s="176"/>
      <c r="AA11" s="176"/>
      <c r="AB11" s="176"/>
      <c r="AC11" s="176"/>
      <c r="AD11" s="176"/>
      <c r="AE11" s="176"/>
      <c r="AF11" s="176"/>
      <c r="AG11" s="176"/>
      <c r="AH11" s="176"/>
      <c r="AI11" s="176"/>
      <c r="AJ11" s="176"/>
      <c r="AK11" s="176"/>
    </row>
    <row r="12" spans="1:37" ht="39" customHeight="1" x14ac:dyDescent="0.25">
      <c r="C12" s="139">
        <v>11</v>
      </c>
      <c r="D12" s="128"/>
      <c r="E12" s="137"/>
      <c r="G12" s="140">
        <v>11</v>
      </c>
      <c r="H12" s="127"/>
      <c r="I12" s="127"/>
      <c r="J12" s="127"/>
      <c r="K12" s="127"/>
      <c r="L12" s="127"/>
      <c r="M12" s="127"/>
      <c r="N12" s="144"/>
      <c r="O12" s="145"/>
      <c r="P12" s="140">
        <v>11</v>
      </c>
      <c r="Q12" s="127"/>
      <c r="R12" s="127"/>
      <c r="S12" s="127"/>
      <c r="T12" s="127"/>
      <c r="U12" s="127"/>
      <c r="V12" s="140">
        <v>11</v>
      </c>
      <c r="W12" s="176"/>
      <c r="X12" s="176"/>
      <c r="Y12" s="176"/>
      <c r="Z12" s="176"/>
      <c r="AA12" s="176"/>
      <c r="AB12" s="176"/>
      <c r="AC12" s="176"/>
      <c r="AD12" s="176"/>
      <c r="AE12" s="176"/>
      <c r="AF12" s="176"/>
      <c r="AG12" s="176"/>
      <c r="AH12" s="176"/>
      <c r="AI12" s="176"/>
      <c r="AJ12" s="176"/>
      <c r="AK12" s="176"/>
    </row>
    <row r="13" spans="1:37" ht="39" customHeight="1" thickBot="1" x14ac:dyDescent="0.3">
      <c r="C13" s="139">
        <v>12</v>
      </c>
      <c r="D13" s="128"/>
      <c r="E13" s="137"/>
      <c r="G13" s="140">
        <v>12</v>
      </c>
      <c r="H13" s="127"/>
      <c r="I13" s="127"/>
      <c r="J13" s="127"/>
      <c r="K13" s="127"/>
      <c r="L13" s="127"/>
      <c r="M13" s="127"/>
      <c r="N13" s="127"/>
      <c r="P13" s="140">
        <v>12</v>
      </c>
      <c r="Q13" s="127"/>
      <c r="R13" s="127"/>
      <c r="S13" s="127"/>
      <c r="T13" s="127"/>
      <c r="U13" s="127"/>
      <c r="V13" s="140">
        <v>12</v>
      </c>
      <c r="W13" s="176"/>
      <c r="X13" s="176"/>
      <c r="Y13" s="176"/>
      <c r="Z13" s="176"/>
      <c r="AA13" s="176"/>
      <c r="AB13" s="176"/>
      <c r="AC13" s="176"/>
      <c r="AD13" s="176"/>
      <c r="AE13" s="176"/>
      <c r="AF13" s="176"/>
      <c r="AG13" s="176"/>
      <c r="AH13" s="176"/>
      <c r="AI13" s="176"/>
      <c r="AJ13" s="176"/>
      <c r="AK13" s="176"/>
    </row>
    <row r="14" spans="1:37" ht="39" customHeight="1" x14ac:dyDescent="0.25">
      <c r="C14" s="136">
        <v>13</v>
      </c>
      <c r="D14" s="128"/>
      <c r="E14" s="137"/>
      <c r="G14" s="138">
        <v>13</v>
      </c>
      <c r="H14" s="127"/>
      <c r="I14" s="127"/>
      <c r="J14" s="127"/>
      <c r="K14" s="127"/>
      <c r="L14" s="127"/>
      <c r="M14" s="127"/>
      <c r="N14" s="127"/>
      <c r="P14" s="138">
        <v>13</v>
      </c>
      <c r="Q14" s="127"/>
      <c r="R14" s="127"/>
      <c r="S14" s="127"/>
      <c r="T14" s="127"/>
      <c r="U14" s="146"/>
      <c r="V14" s="138">
        <v>13</v>
      </c>
      <c r="W14" s="176"/>
      <c r="X14" s="176"/>
      <c r="Y14" s="176"/>
      <c r="Z14" s="176"/>
      <c r="AA14" s="176"/>
      <c r="AB14" s="176"/>
      <c r="AC14" s="176"/>
      <c r="AD14" s="176"/>
      <c r="AE14" s="176"/>
      <c r="AF14" s="176"/>
      <c r="AG14" s="176"/>
      <c r="AH14" s="176"/>
      <c r="AI14" s="176"/>
      <c r="AJ14" s="176"/>
      <c r="AK14" s="176"/>
    </row>
    <row r="15" spans="1:37" ht="39" customHeight="1" x14ac:dyDescent="0.25">
      <c r="C15" s="139">
        <v>14</v>
      </c>
      <c r="D15" s="128"/>
      <c r="E15" s="137"/>
      <c r="G15" s="140">
        <v>14</v>
      </c>
      <c r="H15" s="127"/>
      <c r="I15" s="127"/>
      <c r="J15" s="127"/>
      <c r="K15" s="127"/>
      <c r="L15" s="127"/>
      <c r="M15" s="127"/>
      <c r="N15" s="127"/>
      <c r="P15" s="140">
        <v>14</v>
      </c>
      <c r="Q15" s="127"/>
      <c r="R15" s="127"/>
      <c r="S15" s="127"/>
      <c r="T15" s="127"/>
      <c r="U15" s="146"/>
      <c r="V15" s="140">
        <v>14</v>
      </c>
      <c r="W15" s="176"/>
      <c r="X15" s="176"/>
      <c r="Y15" s="176"/>
      <c r="Z15" s="176"/>
      <c r="AA15" s="176"/>
      <c r="AB15" s="176"/>
      <c r="AC15" s="176"/>
      <c r="AD15" s="176"/>
      <c r="AE15" s="176"/>
      <c r="AF15" s="176"/>
      <c r="AG15" s="176"/>
      <c r="AH15" s="176"/>
      <c r="AI15" s="176"/>
      <c r="AJ15" s="176"/>
      <c r="AK15" s="176"/>
    </row>
    <row r="16" spans="1:37" ht="39" customHeight="1" thickBot="1" x14ac:dyDescent="0.3">
      <c r="C16" s="139">
        <v>15</v>
      </c>
      <c r="D16" s="128"/>
      <c r="E16" s="137"/>
      <c r="G16" s="140">
        <v>15</v>
      </c>
      <c r="H16" s="127"/>
      <c r="I16" s="127"/>
      <c r="J16" s="127"/>
      <c r="K16" s="127"/>
      <c r="L16" s="127"/>
      <c r="M16" s="127"/>
      <c r="N16" s="127"/>
      <c r="P16" s="140">
        <v>15</v>
      </c>
      <c r="Q16" s="127"/>
      <c r="R16" s="127"/>
      <c r="S16" s="127"/>
      <c r="T16" s="127"/>
      <c r="U16" s="146"/>
      <c r="V16" s="140">
        <v>15</v>
      </c>
      <c r="W16" s="176"/>
      <c r="X16" s="176"/>
      <c r="Y16" s="176"/>
      <c r="Z16" s="176"/>
      <c r="AA16" s="176"/>
      <c r="AB16" s="176"/>
      <c r="AC16" s="176"/>
      <c r="AD16" s="176"/>
      <c r="AE16" s="176"/>
      <c r="AF16" s="176"/>
      <c r="AG16" s="176"/>
      <c r="AH16" s="176"/>
      <c r="AI16" s="176"/>
      <c r="AJ16" s="176"/>
      <c r="AK16" s="176"/>
    </row>
    <row r="17" spans="3:37" ht="39" customHeight="1" x14ac:dyDescent="0.25">
      <c r="C17" s="136">
        <v>16</v>
      </c>
      <c r="D17" s="128"/>
      <c r="E17" s="137"/>
      <c r="G17" s="138">
        <v>16</v>
      </c>
      <c r="H17" s="127"/>
      <c r="I17" s="127"/>
      <c r="J17" s="127"/>
      <c r="K17" s="127"/>
      <c r="L17" s="127"/>
      <c r="M17" s="127"/>
      <c r="N17" s="127"/>
      <c r="P17" s="138">
        <v>16</v>
      </c>
      <c r="Q17" s="127"/>
      <c r="R17" s="127"/>
      <c r="S17" s="127"/>
      <c r="T17" s="127"/>
      <c r="U17" s="146"/>
      <c r="V17" s="138">
        <v>16</v>
      </c>
      <c r="W17" s="176"/>
      <c r="X17" s="176"/>
      <c r="Y17" s="176"/>
      <c r="Z17" s="176"/>
      <c r="AA17" s="176"/>
      <c r="AB17" s="176"/>
      <c r="AC17" s="176"/>
      <c r="AD17" s="176"/>
      <c r="AE17" s="176"/>
      <c r="AF17" s="176"/>
      <c r="AG17" s="176"/>
      <c r="AH17" s="176"/>
      <c r="AI17" s="176"/>
      <c r="AJ17" s="176"/>
      <c r="AK17" s="176"/>
    </row>
    <row r="18" spans="3:37" ht="39" customHeight="1" x14ac:dyDescent="0.25">
      <c r="C18" s="139">
        <v>17</v>
      </c>
      <c r="D18" s="128"/>
      <c r="E18" s="137"/>
      <c r="G18" s="140">
        <v>17</v>
      </c>
      <c r="H18" s="127"/>
      <c r="I18" s="127"/>
      <c r="J18" s="127"/>
      <c r="K18" s="127"/>
      <c r="L18" s="127"/>
      <c r="M18" s="127"/>
      <c r="N18" s="127"/>
      <c r="P18" s="140">
        <v>17</v>
      </c>
      <c r="Q18" s="127"/>
      <c r="R18" s="127"/>
      <c r="S18" s="127"/>
      <c r="T18" s="127"/>
      <c r="U18" s="146"/>
      <c r="V18" s="140">
        <v>17</v>
      </c>
      <c r="W18" s="176"/>
      <c r="X18" s="176"/>
      <c r="Y18" s="176"/>
      <c r="Z18" s="176"/>
      <c r="AA18" s="176"/>
      <c r="AB18" s="176"/>
      <c r="AC18" s="176"/>
      <c r="AD18" s="176"/>
      <c r="AE18" s="176"/>
      <c r="AF18" s="176"/>
      <c r="AG18" s="176"/>
      <c r="AH18" s="176"/>
      <c r="AI18" s="176"/>
      <c r="AJ18" s="176"/>
      <c r="AK18" s="176"/>
    </row>
    <row r="19" spans="3:37" ht="39" customHeight="1" thickBot="1" x14ac:dyDescent="0.3">
      <c r="C19" s="139">
        <v>18</v>
      </c>
      <c r="D19" s="128"/>
      <c r="E19" s="137"/>
      <c r="G19" s="140">
        <v>18</v>
      </c>
      <c r="H19" s="127"/>
      <c r="I19" s="127"/>
      <c r="J19" s="127"/>
      <c r="K19" s="127"/>
      <c r="L19" s="127"/>
      <c r="M19" s="127"/>
      <c r="N19" s="127"/>
      <c r="P19" s="140">
        <v>18</v>
      </c>
      <c r="Q19" s="127"/>
      <c r="R19" s="127"/>
      <c r="S19" s="127"/>
      <c r="T19" s="127"/>
      <c r="U19" s="146"/>
      <c r="V19" s="140">
        <v>18</v>
      </c>
      <c r="W19" s="176"/>
      <c r="X19" s="176"/>
      <c r="Y19" s="176"/>
      <c r="Z19" s="176"/>
      <c r="AA19" s="176"/>
      <c r="AB19" s="176"/>
      <c r="AC19" s="176"/>
      <c r="AD19" s="176"/>
      <c r="AE19" s="176"/>
      <c r="AF19" s="176"/>
      <c r="AG19" s="176"/>
      <c r="AH19" s="176"/>
      <c r="AI19" s="176"/>
      <c r="AJ19" s="176"/>
      <c r="AK19" s="176"/>
    </row>
    <row r="20" spans="3:37" ht="39" customHeight="1" x14ac:dyDescent="0.25">
      <c r="C20" s="136">
        <v>19</v>
      </c>
      <c r="D20" s="128"/>
      <c r="E20" s="137"/>
      <c r="G20" s="138">
        <v>19</v>
      </c>
      <c r="H20" s="127"/>
      <c r="I20" s="127"/>
      <c r="J20" s="127"/>
      <c r="K20" s="127"/>
      <c r="L20" s="127"/>
      <c r="M20" s="127"/>
      <c r="N20" s="127"/>
      <c r="P20" s="138">
        <v>19</v>
      </c>
      <c r="Q20" s="127"/>
      <c r="R20" s="127"/>
      <c r="S20" s="127"/>
      <c r="T20" s="127"/>
      <c r="U20" s="146"/>
      <c r="V20" s="138">
        <v>19</v>
      </c>
      <c r="W20" s="176"/>
      <c r="X20" s="176"/>
      <c r="Y20" s="176"/>
      <c r="Z20" s="176"/>
      <c r="AA20" s="176"/>
      <c r="AB20" s="176"/>
      <c r="AC20" s="176"/>
      <c r="AD20" s="176"/>
      <c r="AE20" s="176"/>
      <c r="AF20" s="176"/>
      <c r="AG20" s="176"/>
      <c r="AH20" s="176"/>
      <c r="AI20" s="176"/>
      <c r="AJ20" s="176"/>
      <c r="AK20" s="176"/>
    </row>
    <row r="21" spans="3:37" ht="39" customHeight="1" x14ac:dyDescent="0.25">
      <c r="C21" s="139">
        <v>20</v>
      </c>
      <c r="D21" s="128"/>
      <c r="E21" s="137"/>
      <c r="G21" s="140">
        <v>20</v>
      </c>
      <c r="H21" s="127"/>
      <c r="I21" s="127"/>
      <c r="J21" s="127"/>
      <c r="K21" s="127"/>
      <c r="L21" s="127"/>
      <c r="M21" s="127"/>
      <c r="N21" s="127"/>
      <c r="P21" s="140">
        <v>20</v>
      </c>
      <c r="Q21" s="127"/>
      <c r="R21" s="127"/>
      <c r="S21" s="127"/>
      <c r="T21" s="127"/>
      <c r="U21" s="146"/>
      <c r="V21" s="140">
        <v>20</v>
      </c>
      <c r="W21" s="176"/>
      <c r="X21" s="176"/>
      <c r="Y21" s="176"/>
      <c r="Z21" s="176"/>
      <c r="AA21" s="176"/>
      <c r="AB21" s="176"/>
      <c r="AC21" s="176"/>
      <c r="AD21" s="176"/>
      <c r="AE21" s="176"/>
      <c r="AF21" s="176"/>
      <c r="AG21" s="176"/>
      <c r="AH21" s="176"/>
      <c r="AI21" s="176"/>
      <c r="AJ21" s="176"/>
      <c r="AK21" s="176"/>
    </row>
    <row r="22" spans="3:37" ht="39" customHeight="1" thickBot="1" x14ac:dyDescent="0.3">
      <c r="C22" s="139">
        <v>21</v>
      </c>
      <c r="D22" s="128"/>
      <c r="E22" s="137"/>
      <c r="G22" s="140">
        <v>21</v>
      </c>
      <c r="H22" s="127"/>
      <c r="I22" s="127"/>
      <c r="J22" s="127"/>
      <c r="K22" s="127"/>
      <c r="L22" s="127"/>
      <c r="M22" s="127"/>
      <c r="N22" s="127"/>
      <c r="P22" s="140">
        <v>21</v>
      </c>
      <c r="Q22" s="127"/>
      <c r="R22" s="127"/>
      <c r="S22" s="127"/>
      <c r="T22" s="127"/>
      <c r="U22" s="146"/>
      <c r="V22" s="140">
        <v>21</v>
      </c>
      <c r="W22" s="176"/>
      <c r="X22" s="176"/>
      <c r="Y22" s="176"/>
      <c r="Z22" s="176"/>
      <c r="AA22" s="176"/>
      <c r="AB22" s="176"/>
      <c r="AC22" s="176"/>
      <c r="AD22" s="176"/>
      <c r="AE22" s="176"/>
      <c r="AF22" s="176"/>
      <c r="AG22" s="176"/>
      <c r="AH22" s="176"/>
      <c r="AI22" s="176"/>
      <c r="AJ22" s="176"/>
      <c r="AK22" s="176"/>
    </row>
    <row r="23" spans="3:37" ht="39" customHeight="1" x14ac:dyDescent="0.25">
      <c r="C23" s="136">
        <v>22</v>
      </c>
      <c r="D23" s="128"/>
      <c r="E23" s="137"/>
      <c r="G23" s="138">
        <v>22</v>
      </c>
      <c r="H23" s="127"/>
      <c r="I23" s="127"/>
      <c r="J23" s="127"/>
      <c r="K23" s="127"/>
      <c r="L23" s="127"/>
      <c r="M23" s="127"/>
      <c r="N23" s="127"/>
      <c r="P23" s="138">
        <v>22</v>
      </c>
      <c r="Q23" s="127"/>
      <c r="R23" s="127"/>
      <c r="S23" s="127"/>
      <c r="T23" s="127"/>
      <c r="U23" s="146"/>
      <c r="V23" s="138">
        <v>22</v>
      </c>
      <c r="W23" s="176"/>
      <c r="X23" s="176"/>
      <c r="Y23" s="176"/>
      <c r="Z23" s="176"/>
      <c r="AA23" s="176"/>
      <c r="AB23" s="176"/>
      <c r="AC23" s="176"/>
      <c r="AD23" s="176"/>
      <c r="AE23" s="176"/>
      <c r="AF23" s="176"/>
      <c r="AG23" s="176"/>
      <c r="AH23" s="176"/>
      <c r="AI23" s="176"/>
      <c r="AJ23" s="176"/>
      <c r="AK23" s="176"/>
    </row>
    <row r="24" spans="3:37" ht="39" customHeight="1" x14ac:dyDescent="0.25">
      <c r="C24" s="139">
        <v>23</v>
      </c>
      <c r="D24" s="128"/>
      <c r="E24" s="137"/>
      <c r="G24" s="140">
        <v>23</v>
      </c>
      <c r="H24" s="127"/>
      <c r="I24" s="127"/>
      <c r="J24" s="127"/>
      <c r="K24" s="127"/>
      <c r="L24" s="127"/>
      <c r="M24" s="127"/>
      <c r="N24" s="127"/>
      <c r="P24" s="140">
        <v>23</v>
      </c>
      <c r="Q24" s="127"/>
      <c r="R24" s="127"/>
      <c r="S24" s="127"/>
      <c r="T24" s="127"/>
      <c r="U24" s="146"/>
      <c r="V24" s="140">
        <v>23</v>
      </c>
      <c r="W24" s="176"/>
      <c r="X24" s="176"/>
      <c r="Y24" s="176"/>
      <c r="Z24" s="176"/>
      <c r="AA24" s="176"/>
      <c r="AB24" s="176"/>
      <c r="AC24" s="176"/>
      <c r="AD24" s="176"/>
      <c r="AE24" s="176"/>
      <c r="AF24" s="176"/>
      <c r="AG24" s="176"/>
      <c r="AH24" s="176"/>
      <c r="AI24" s="176"/>
      <c r="AJ24" s="176"/>
      <c r="AK24" s="176"/>
    </row>
    <row r="25" spans="3:37" ht="39" customHeight="1" thickBot="1" x14ac:dyDescent="0.3">
      <c r="C25" s="139">
        <v>24</v>
      </c>
      <c r="D25" s="128"/>
      <c r="E25" s="137"/>
      <c r="G25" s="140">
        <v>24</v>
      </c>
      <c r="H25" s="127"/>
      <c r="I25" s="127"/>
      <c r="J25" s="127"/>
      <c r="K25" s="127"/>
      <c r="L25" s="127"/>
      <c r="M25" s="127"/>
      <c r="N25" s="127"/>
      <c r="P25" s="140">
        <v>24</v>
      </c>
      <c r="Q25" s="127"/>
      <c r="R25" s="127"/>
      <c r="S25" s="127"/>
      <c r="T25" s="127"/>
      <c r="U25" s="146"/>
      <c r="V25" s="140">
        <v>24</v>
      </c>
      <c r="W25" s="176"/>
      <c r="X25" s="176"/>
      <c r="Y25" s="176"/>
      <c r="Z25" s="176"/>
      <c r="AA25" s="176"/>
      <c r="AB25" s="176"/>
      <c r="AC25" s="176"/>
      <c r="AD25" s="176"/>
      <c r="AE25" s="176"/>
      <c r="AF25" s="176"/>
      <c r="AG25" s="176"/>
      <c r="AH25" s="176"/>
      <c r="AI25" s="176"/>
      <c r="AJ25" s="176"/>
      <c r="AK25" s="176"/>
    </row>
    <row r="26" spans="3:37" ht="39" customHeight="1" x14ac:dyDescent="0.25">
      <c r="C26" s="136">
        <v>25</v>
      </c>
      <c r="D26" s="128"/>
      <c r="E26" s="137"/>
      <c r="G26" s="138">
        <v>25</v>
      </c>
      <c r="H26" s="127"/>
      <c r="I26" s="127"/>
      <c r="J26" s="127"/>
      <c r="K26" s="127"/>
      <c r="L26" s="127"/>
      <c r="M26" s="127"/>
      <c r="N26" s="127"/>
      <c r="P26" s="138">
        <v>25</v>
      </c>
      <c r="Q26" s="127"/>
      <c r="R26" s="127"/>
      <c r="S26" s="127"/>
      <c r="T26" s="127"/>
      <c r="U26" s="146"/>
      <c r="V26" s="138">
        <v>25</v>
      </c>
      <c r="W26" s="176"/>
      <c r="X26" s="176"/>
      <c r="Y26" s="176"/>
      <c r="Z26" s="176"/>
      <c r="AA26" s="176"/>
      <c r="AB26" s="176"/>
      <c r="AC26" s="176"/>
      <c r="AD26" s="176"/>
      <c r="AE26" s="176"/>
      <c r="AF26" s="176"/>
      <c r="AG26" s="176"/>
      <c r="AH26" s="176"/>
      <c r="AI26" s="176"/>
      <c r="AJ26" s="176"/>
      <c r="AK26" s="176"/>
    </row>
    <row r="27" spans="3:37" ht="39" customHeight="1" x14ac:dyDescent="0.25">
      <c r="C27" s="139">
        <v>26</v>
      </c>
      <c r="D27" s="128"/>
      <c r="E27" s="137"/>
      <c r="G27" s="140">
        <v>26</v>
      </c>
      <c r="H27" s="127"/>
      <c r="I27" s="127"/>
      <c r="J27" s="127"/>
      <c r="K27" s="127"/>
      <c r="L27" s="127"/>
      <c r="M27" s="127"/>
      <c r="N27" s="127"/>
      <c r="P27" s="140">
        <v>26</v>
      </c>
      <c r="Q27" s="127"/>
      <c r="R27" s="127"/>
      <c r="S27" s="127"/>
      <c r="T27" s="127"/>
      <c r="U27" s="146"/>
      <c r="V27" s="140">
        <v>26</v>
      </c>
      <c r="W27" s="176"/>
      <c r="X27" s="176"/>
      <c r="Y27" s="176"/>
      <c r="Z27" s="176"/>
      <c r="AA27" s="176"/>
      <c r="AB27" s="176"/>
      <c r="AC27" s="176"/>
      <c r="AD27" s="176"/>
      <c r="AE27" s="176"/>
      <c r="AF27" s="176"/>
      <c r="AG27" s="176"/>
      <c r="AH27" s="176"/>
      <c r="AI27" s="176"/>
      <c r="AJ27" s="176"/>
      <c r="AK27" s="176"/>
    </row>
    <row r="28" spans="3:37" ht="39" customHeight="1" thickBot="1" x14ac:dyDescent="0.3">
      <c r="C28" s="139">
        <v>27</v>
      </c>
      <c r="D28" s="128"/>
      <c r="E28" s="137"/>
      <c r="G28" s="140">
        <v>27</v>
      </c>
      <c r="H28" s="127"/>
      <c r="I28" s="127"/>
      <c r="J28" s="127"/>
      <c r="K28" s="127"/>
      <c r="L28" s="127"/>
      <c r="M28" s="127"/>
      <c r="N28" s="127"/>
      <c r="P28" s="140">
        <v>27</v>
      </c>
      <c r="Q28" s="127"/>
      <c r="R28" s="127"/>
      <c r="S28" s="127"/>
      <c r="T28" s="127"/>
      <c r="U28" s="146"/>
      <c r="V28" s="140">
        <v>27</v>
      </c>
      <c r="W28" s="176"/>
      <c r="X28" s="176"/>
      <c r="Y28" s="176"/>
      <c r="Z28" s="176"/>
      <c r="AA28" s="176"/>
      <c r="AB28" s="176"/>
      <c r="AC28" s="176"/>
      <c r="AD28" s="176"/>
      <c r="AE28" s="176"/>
      <c r="AF28" s="176"/>
      <c r="AG28" s="176"/>
      <c r="AH28" s="176"/>
      <c r="AI28" s="176"/>
      <c r="AJ28" s="176"/>
      <c r="AK28" s="176"/>
    </row>
    <row r="29" spans="3:37" ht="39" customHeight="1" x14ac:dyDescent="0.25">
      <c r="C29" s="136">
        <v>28</v>
      </c>
      <c r="D29" s="128"/>
      <c r="E29" s="137"/>
      <c r="G29" s="138">
        <v>28</v>
      </c>
      <c r="H29" s="127"/>
      <c r="I29" s="127"/>
      <c r="J29" s="127"/>
      <c r="K29" s="127"/>
      <c r="L29" s="127"/>
      <c r="M29" s="127"/>
      <c r="N29" s="127"/>
      <c r="P29" s="138">
        <v>28</v>
      </c>
      <c r="Q29" s="127"/>
      <c r="R29" s="127"/>
      <c r="S29" s="127"/>
      <c r="T29" s="127"/>
      <c r="U29" s="146"/>
      <c r="V29" s="138">
        <v>28</v>
      </c>
      <c r="W29" s="176"/>
      <c r="X29" s="176"/>
      <c r="Y29" s="176"/>
      <c r="Z29" s="176"/>
      <c r="AA29" s="176"/>
      <c r="AB29" s="176"/>
      <c r="AC29" s="176"/>
      <c r="AD29" s="176"/>
      <c r="AE29" s="176"/>
      <c r="AF29" s="176"/>
      <c r="AG29" s="176"/>
      <c r="AH29" s="176"/>
      <c r="AI29" s="176"/>
      <c r="AJ29" s="176"/>
      <c r="AK29" s="176"/>
    </row>
    <row r="30" spans="3:37" ht="39" customHeight="1" x14ac:dyDescent="0.25">
      <c r="C30" s="139">
        <v>29</v>
      </c>
      <c r="D30" s="128"/>
      <c r="E30" s="137"/>
      <c r="G30" s="140">
        <v>29</v>
      </c>
      <c r="H30" s="127"/>
      <c r="I30" s="127"/>
      <c r="J30" s="127"/>
      <c r="K30" s="127"/>
      <c r="L30" s="127"/>
      <c r="M30" s="127"/>
      <c r="N30" s="127"/>
      <c r="P30" s="140">
        <v>29</v>
      </c>
      <c r="Q30" s="127"/>
      <c r="R30" s="127"/>
      <c r="S30" s="127"/>
      <c r="T30" s="127"/>
      <c r="U30" s="146"/>
      <c r="V30" s="140">
        <v>29</v>
      </c>
      <c r="W30" s="176"/>
      <c r="X30" s="176"/>
      <c r="Y30" s="176"/>
      <c r="Z30" s="176"/>
      <c r="AA30" s="176"/>
      <c r="AB30" s="176"/>
      <c r="AC30" s="176"/>
      <c r="AD30" s="176"/>
      <c r="AE30" s="176"/>
      <c r="AF30" s="176"/>
      <c r="AG30" s="176"/>
      <c r="AH30" s="176"/>
      <c r="AI30" s="176"/>
      <c r="AJ30" s="176"/>
      <c r="AK30" s="176"/>
    </row>
    <row r="31" spans="3:37" ht="39" customHeight="1" thickBot="1" x14ac:dyDescent="0.3">
      <c r="C31" s="139">
        <v>30</v>
      </c>
      <c r="D31" s="128"/>
      <c r="E31" s="137"/>
      <c r="G31" s="140">
        <v>30</v>
      </c>
      <c r="H31" s="127"/>
      <c r="I31" s="127"/>
      <c r="J31" s="127"/>
      <c r="K31" s="127"/>
      <c r="L31" s="127"/>
      <c r="M31" s="127"/>
      <c r="N31" s="127"/>
      <c r="P31" s="140">
        <v>30</v>
      </c>
      <c r="Q31" s="127"/>
      <c r="R31" s="127"/>
      <c r="S31" s="127"/>
      <c r="T31" s="127"/>
      <c r="U31" s="146"/>
      <c r="V31" s="140">
        <v>30</v>
      </c>
      <c r="W31" s="176"/>
      <c r="X31" s="176"/>
      <c r="Y31" s="176"/>
      <c r="Z31" s="176"/>
      <c r="AA31" s="176"/>
      <c r="AB31" s="176"/>
      <c r="AC31" s="176"/>
      <c r="AD31" s="176"/>
      <c r="AE31" s="176"/>
      <c r="AF31" s="176"/>
      <c r="AG31" s="176"/>
      <c r="AH31" s="176"/>
      <c r="AI31" s="176"/>
      <c r="AJ31" s="176"/>
      <c r="AK31" s="176"/>
    </row>
    <row r="32" spans="3:37" ht="39" customHeight="1" x14ac:dyDescent="0.25">
      <c r="C32" s="136">
        <v>31</v>
      </c>
      <c r="D32" s="128"/>
      <c r="E32" s="137"/>
      <c r="G32" s="138">
        <v>31</v>
      </c>
      <c r="H32" s="127"/>
      <c r="I32" s="127"/>
      <c r="J32" s="127"/>
      <c r="K32" s="127"/>
      <c r="L32" s="127"/>
      <c r="M32" s="127"/>
      <c r="N32" s="127"/>
      <c r="P32" s="138">
        <v>31</v>
      </c>
      <c r="Q32" s="127"/>
      <c r="R32" s="127"/>
      <c r="S32" s="127"/>
      <c r="T32" s="127"/>
      <c r="U32" s="146"/>
      <c r="V32" s="138">
        <v>31</v>
      </c>
      <c r="W32" s="176"/>
      <c r="X32" s="176"/>
      <c r="Y32" s="176"/>
      <c r="Z32" s="176"/>
      <c r="AA32" s="176"/>
      <c r="AB32" s="176"/>
      <c r="AC32" s="176"/>
      <c r="AD32" s="176"/>
      <c r="AE32" s="176"/>
      <c r="AF32" s="176"/>
      <c r="AG32" s="176"/>
      <c r="AH32" s="176"/>
      <c r="AI32" s="176"/>
      <c r="AJ32" s="176"/>
      <c r="AK32" s="176"/>
    </row>
    <row r="33" spans="1:37" ht="39" customHeight="1" x14ac:dyDescent="0.25">
      <c r="C33" s="139">
        <v>32</v>
      </c>
      <c r="D33" s="128"/>
      <c r="E33" s="137"/>
      <c r="G33" s="140">
        <v>32</v>
      </c>
      <c r="H33" s="127"/>
      <c r="I33" s="127"/>
      <c r="J33" s="127"/>
      <c r="K33" s="127"/>
      <c r="L33" s="127"/>
      <c r="M33" s="127"/>
      <c r="N33" s="127"/>
      <c r="P33" s="140">
        <v>32</v>
      </c>
      <c r="Q33" s="127"/>
      <c r="R33" s="127"/>
      <c r="S33" s="127"/>
      <c r="T33" s="127"/>
      <c r="U33" s="146"/>
      <c r="V33" s="140">
        <v>32</v>
      </c>
      <c r="W33" s="176"/>
      <c r="X33" s="176"/>
      <c r="Y33" s="176"/>
      <c r="Z33" s="176"/>
      <c r="AA33" s="176"/>
      <c r="AB33" s="176"/>
      <c r="AC33" s="176"/>
      <c r="AD33" s="176"/>
      <c r="AE33" s="176"/>
      <c r="AF33" s="176"/>
      <c r="AG33" s="176"/>
      <c r="AH33" s="176"/>
      <c r="AI33" s="176"/>
      <c r="AJ33" s="176"/>
      <c r="AK33" s="176"/>
    </row>
    <row r="34" spans="1:37" ht="39" customHeight="1" thickBot="1" x14ac:dyDescent="0.3">
      <c r="C34" s="139">
        <v>33</v>
      </c>
      <c r="D34" s="128"/>
      <c r="E34" s="137"/>
      <c r="G34" s="140">
        <v>33</v>
      </c>
      <c r="H34" s="127"/>
      <c r="I34" s="127"/>
      <c r="J34" s="127"/>
      <c r="K34" s="127"/>
      <c r="L34" s="127"/>
      <c r="M34" s="127"/>
      <c r="N34" s="127"/>
      <c r="P34" s="140">
        <v>33</v>
      </c>
      <c r="Q34" s="127"/>
      <c r="R34" s="127"/>
      <c r="S34" s="127"/>
      <c r="T34" s="127"/>
      <c r="U34" s="146"/>
      <c r="V34" s="140">
        <v>33</v>
      </c>
      <c r="W34" s="176"/>
      <c r="X34" s="176"/>
      <c r="Y34" s="176"/>
      <c r="Z34" s="176"/>
      <c r="AA34" s="176"/>
      <c r="AB34" s="176"/>
      <c r="AC34" s="176"/>
      <c r="AD34" s="176"/>
      <c r="AE34" s="176"/>
      <c r="AF34" s="176"/>
      <c r="AG34" s="176"/>
      <c r="AH34" s="176"/>
      <c r="AI34" s="176"/>
      <c r="AJ34" s="176"/>
      <c r="AK34" s="176"/>
    </row>
    <row r="35" spans="1:37" ht="39" customHeight="1" x14ac:dyDescent="0.25">
      <c r="C35" s="136">
        <v>34</v>
      </c>
      <c r="D35" s="137"/>
      <c r="E35" s="137"/>
      <c r="G35" s="138">
        <v>34</v>
      </c>
      <c r="H35" s="127"/>
      <c r="I35" s="127"/>
      <c r="J35" s="127"/>
      <c r="K35" s="127"/>
      <c r="L35" s="127"/>
      <c r="M35" s="127"/>
      <c r="N35" s="127"/>
      <c r="P35" s="138">
        <v>34</v>
      </c>
      <c r="Q35" s="127"/>
      <c r="R35" s="127"/>
      <c r="S35" s="127"/>
      <c r="T35" s="127"/>
      <c r="U35" s="146"/>
      <c r="V35" s="138">
        <v>34</v>
      </c>
      <c r="W35" s="176"/>
      <c r="X35" s="176"/>
      <c r="Y35" s="176"/>
      <c r="Z35" s="176"/>
      <c r="AA35" s="176"/>
      <c r="AB35" s="176"/>
      <c r="AC35" s="176"/>
      <c r="AD35" s="176"/>
      <c r="AE35" s="176"/>
      <c r="AF35" s="176"/>
      <c r="AG35" s="176"/>
      <c r="AH35" s="176"/>
      <c r="AI35" s="176"/>
      <c r="AJ35" s="176"/>
      <c r="AK35" s="176"/>
    </row>
    <row r="36" spans="1:37" ht="39" customHeight="1" x14ac:dyDescent="0.25">
      <c r="A36" s="147"/>
      <c r="B36" s="148"/>
      <c r="C36" s="139">
        <v>35</v>
      </c>
      <c r="D36" s="128"/>
      <c r="E36" s="137"/>
      <c r="G36" s="140">
        <v>35</v>
      </c>
      <c r="H36" s="127"/>
      <c r="I36" s="127"/>
      <c r="J36" s="127"/>
      <c r="K36" s="127"/>
      <c r="L36" s="127"/>
      <c r="M36" s="127"/>
      <c r="N36" s="127"/>
      <c r="P36" s="140">
        <v>35</v>
      </c>
      <c r="Q36" s="127"/>
      <c r="R36" s="127"/>
      <c r="S36" s="127"/>
      <c r="T36" s="127"/>
      <c r="U36" s="146"/>
      <c r="V36" s="140">
        <v>35</v>
      </c>
      <c r="W36" s="176"/>
      <c r="X36" s="176"/>
      <c r="Y36" s="176"/>
      <c r="Z36" s="176"/>
      <c r="AA36" s="176"/>
      <c r="AB36" s="176"/>
      <c r="AC36" s="176"/>
      <c r="AD36" s="176"/>
      <c r="AE36" s="176"/>
      <c r="AF36" s="176"/>
      <c r="AG36" s="176"/>
      <c r="AH36" s="176"/>
      <c r="AI36" s="176"/>
      <c r="AJ36" s="176"/>
      <c r="AK36" s="176"/>
    </row>
    <row r="37" spans="1:37" ht="39" customHeight="1" thickBot="1" x14ac:dyDescent="0.3">
      <c r="C37" s="139">
        <v>36</v>
      </c>
      <c r="D37" s="128"/>
      <c r="E37" s="137"/>
      <c r="G37" s="140">
        <v>36</v>
      </c>
      <c r="H37" s="127"/>
      <c r="I37" s="127"/>
      <c r="J37" s="127"/>
      <c r="K37" s="127"/>
      <c r="L37" s="127"/>
      <c r="M37" s="127"/>
      <c r="N37" s="127"/>
      <c r="P37" s="140">
        <v>36</v>
      </c>
      <c r="Q37" s="127"/>
      <c r="R37" s="127"/>
      <c r="S37" s="127"/>
      <c r="T37" s="127"/>
      <c r="U37" s="146"/>
      <c r="V37" s="140">
        <v>36</v>
      </c>
      <c r="W37" s="176"/>
      <c r="X37" s="176"/>
      <c r="Y37" s="176"/>
      <c r="Z37" s="176"/>
      <c r="AA37" s="176"/>
      <c r="AB37" s="176"/>
      <c r="AC37" s="176"/>
      <c r="AD37" s="176"/>
      <c r="AE37" s="176"/>
      <c r="AF37" s="176"/>
      <c r="AG37" s="176"/>
      <c r="AH37" s="176"/>
      <c r="AI37" s="176"/>
      <c r="AJ37" s="176"/>
      <c r="AK37" s="176"/>
    </row>
    <row r="38" spans="1:37" ht="39" customHeight="1" x14ac:dyDescent="0.25">
      <c r="C38" s="136">
        <v>37</v>
      </c>
      <c r="D38" s="128"/>
      <c r="E38" s="137"/>
      <c r="G38" s="138">
        <v>37</v>
      </c>
      <c r="H38" s="127"/>
      <c r="I38" s="127"/>
      <c r="J38" s="127"/>
      <c r="K38" s="127"/>
      <c r="L38" s="127"/>
      <c r="M38" s="127"/>
      <c r="N38" s="127"/>
      <c r="P38" s="138">
        <v>37</v>
      </c>
      <c r="Q38" s="127"/>
      <c r="R38" s="127"/>
      <c r="S38" s="127"/>
      <c r="T38" s="127"/>
      <c r="U38" s="146"/>
      <c r="V38" s="138">
        <v>37</v>
      </c>
      <c r="W38" s="176"/>
      <c r="X38" s="176"/>
      <c r="Y38" s="176"/>
      <c r="Z38" s="176"/>
      <c r="AA38" s="176"/>
      <c r="AB38" s="176"/>
      <c r="AC38" s="176"/>
      <c r="AD38" s="176"/>
      <c r="AE38" s="176"/>
      <c r="AF38" s="176"/>
      <c r="AG38" s="176"/>
      <c r="AH38" s="176"/>
      <c r="AI38" s="176"/>
      <c r="AJ38" s="176"/>
      <c r="AK38" s="176"/>
    </row>
    <row r="39" spans="1:37" ht="39" customHeight="1" x14ac:dyDescent="0.25">
      <c r="C39" s="139">
        <v>38</v>
      </c>
      <c r="D39" s="128"/>
      <c r="E39" s="137"/>
      <c r="G39" s="140">
        <v>38</v>
      </c>
      <c r="H39" s="127"/>
      <c r="I39" s="127"/>
      <c r="J39" s="127"/>
      <c r="K39" s="127"/>
      <c r="L39" s="127"/>
      <c r="M39" s="127"/>
      <c r="N39" s="127"/>
      <c r="P39" s="140">
        <v>38</v>
      </c>
      <c r="Q39" s="127"/>
      <c r="R39" s="127"/>
      <c r="S39" s="127"/>
      <c r="T39" s="127"/>
      <c r="U39" s="146"/>
      <c r="V39" s="140">
        <v>38</v>
      </c>
      <c r="W39" s="176"/>
      <c r="X39" s="176"/>
      <c r="Y39" s="176"/>
      <c r="Z39" s="176"/>
      <c r="AA39" s="176"/>
      <c r="AB39" s="176"/>
      <c r="AC39" s="176"/>
      <c r="AD39" s="176"/>
      <c r="AE39" s="176"/>
      <c r="AF39" s="176"/>
      <c r="AG39" s="176"/>
      <c r="AH39" s="176"/>
      <c r="AI39" s="176"/>
      <c r="AJ39" s="176"/>
      <c r="AK39" s="176"/>
    </row>
    <row r="40" spans="1:37" ht="39" customHeight="1" thickBot="1" x14ac:dyDescent="0.3">
      <c r="C40" s="139">
        <v>39</v>
      </c>
      <c r="D40" s="128"/>
      <c r="E40" s="137"/>
      <c r="G40" s="140">
        <v>39</v>
      </c>
      <c r="H40" s="127"/>
      <c r="I40" s="127"/>
      <c r="J40" s="127"/>
      <c r="K40" s="127"/>
      <c r="L40" s="127"/>
      <c r="M40" s="127"/>
      <c r="N40" s="127"/>
      <c r="P40" s="140">
        <v>39</v>
      </c>
      <c r="Q40" s="127"/>
      <c r="R40" s="127"/>
      <c r="S40" s="127"/>
      <c r="T40" s="127"/>
      <c r="U40" s="146"/>
      <c r="V40" s="140">
        <v>39</v>
      </c>
      <c r="W40" s="176"/>
      <c r="X40" s="176"/>
      <c r="Y40" s="176"/>
      <c r="Z40" s="176"/>
      <c r="AA40" s="176"/>
      <c r="AB40" s="176"/>
      <c r="AC40" s="176"/>
      <c r="AD40" s="176"/>
      <c r="AE40" s="176"/>
      <c r="AF40" s="176"/>
      <c r="AG40" s="176"/>
      <c r="AH40" s="176"/>
      <c r="AI40" s="176"/>
      <c r="AJ40" s="176"/>
      <c r="AK40" s="176"/>
    </row>
    <row r="41" spans="1:37" ht="39" customHeight="1" x14ac:dyDescent="0.25">
      <c r="C41" s="136">
        <v>40</v>
      </c>
      <c r="D41" s="128"/>
      <c r="E41" s="137"/>
      <c r="G41" s="138">
        <v>40</v>
      </c>
      <c r="H41" s="127"/>
      <c r="I41" s="127"/>
      <c r="J41" s="127"/>
      <c r="K41" s="127"/>
      <c r="L41" s="127"/>
      <c r="M41" s="127"/>
      <c r="N41" s="127"/>
      <c r="P41" s="138">
        <v>40</v>
      </c>
      <c r="Q41" s="127"/>
      <c r="R41" s="127"/>
      <c r="S41" s="127"/>
      <c r="T41" s="127"/>
      <c r="U41" s="146"/>
      <c r="V41" s="138">
        <v>40</v>
      </c>
      <c r="W41" s="176"/>
      <c r="X41" s="176"/>
      <c r="Y41" s="176"/>
      <c r="Z41" s="176"/>
      <c r="AA41" s="176"/>
      <c r="AB41" s="176"/>
      <c r="AC41" s="176"/>
      <c r="AD41" s="176"/>
      <c r="AE41" s="176"/>
      <c r="AF41" s="176"/>
      <c r="AG41" s="176"/>
      <c r="AH41" s="176"/>
      <c r="AI41" s="176"/>
      <c r="AJ41" s="176"/>
      <c r="AK41" s="176"/>
    </row>
    <row r="42" spans="1:37" ht="39" customHeight="1" x14ac:dyDescent="0.25">
      <c r="C42" s="139">
        <v>41</v>
      </c>
      <c r="D42" s="128"/>
      <c r="E42" s="137"/>
      <c r="G42" s="140">
        <v>41</v>
      </c>
      <c r="H42" s="127"/>
      <c r="I42" s="127"/>
      <c r="J42" s="127"/>
      <c r="K42" s="127"/>
      <c r="L42" s="127"/>
      <c r="M42" s="127"/>
      <c r="N42" s="127"/>
      <c r="P42" s="140">
        <v>41</v>
      </c>
      <c r="Q42" s="127"/>
      <c r="R42" s="127"/>
      <c r="S42" s="127"/>
      <c r="T42" s="127"/>
      <c r="U42" s="146"/>
      <c r="V42" s="140">
        <v>41</v>
      </c>
      <c r="W42" s="176"/>
      <c r="X42" s="176"/>
      <c r="Y42" s="176"/>
      <c r="Z42" s="176"/>
      <c r="AA42" s="176"/>
      <c r="AB42" s="176"/>
      <c r="AC42" s="176"/>
      <c r="AD42" s="176"/>
      <c r="AE42" s="176"/>
      <c r="AF42" s="176"/>
      <c r="AG42" s="176"/>
      <c r="AH42" s="176"/>
      <c r="AI42" s="176"/>
      <c r="AJ42" s="176"/>
      <c r="AK42" s="176"/>
    </row>
    <row r="43" spans="1:37" ht="39" customHeight="1" thickBot="1" x14ac:dyDescent="0.3">
      <c r="C43" s="139">
        <v>42</v>
      </c>
      <c r="D43" s="128"/>
      <c r="E43" s="137"/>
      <c r="G43" s="140">
        <v>42</v>
      </c>
      <c r="H43" s="127"/>
      <c r="I43" s="127"/>
      <c r="J43" s="127"/>
      <c r="K43" s="127"/>
      <c r="L43" s="127"/>
      <c r="M43" s="127"/>
      <c r="N43" s="127"/>
      <c r="P43" s="140">
        <v>42</v>
      </c>
      <c r="Q43" s="127"/>
      <c r="R43" s="127"/>
      <c r="S43" s="127"/>
      <c r="T43" s="127"/>
      <c r="U43" s="146"/>
      <c r="V43" s="140">
        <v>42</v>
      </c>
      <c r="W43" s="176"/>
      <c r="X43" s="176"/>
      <c r="Y43" s="176"/>
      <c r="Z43" s="176"/>
      <c r="AA43" s="176"/>
      <c r="AB43" s="176"/>
      <c r="AC43" s="176"/>
      <c r="AD43" s="176"/>
      <c r="AE43" s="176"/>
      <c r="AF43" s="176"/>
      <c r="AG43" s="176"/>
      <c r="AH43" s="176"/>
      <c r="AI43" s="176"/>
      <c r="AJ43" s="176"/>
      <c r="AK43" s="176"/>
    </row>
    <row r="44" spans="1:37" ht="39" customHeight="1" x14ac:dyDescent="0.25">
      <c r="C44" s="136">
        <v>43</v>
      </c>
      <c r="D44" s="128"/>
      <c r="E44" s="137"/>
      <c r="G44" s="138">
        <v>43</v>
      </c>
      <c r="H44" s="127"/>
      <c r="I44" s="127"/>
      <c r="J44" s="127"/>
      <c r="K44" s="127"/>
      <c r="L44" s="127"/>
      <c r="M44" s="127"/>
      <c r="N44" s="127"/>
      <c r="P44" s="138">
        <v>43</v>
      </c>
      <c r="Q44" s="127"/>
      <c r="R44" s="127"/>
      <c r="S44" s="127"/>
      <c r="T44" s="127"/>
      <c r="U44" s="146"/>
      <c r="V44" s="138">
        <v>43</v>
      </c>
      <c r="W44" s="176"/>
      <c r="X44" s="176"/>
      <c r="Y44" s="176"/>
      <c r="Z44" s="176"/>
      <c r="AA44" s="176"/>
      <c r="AB44" s="176"/>
      <c r="AC44" s="176"/>
      <c r="AD44" s="176"/>
      <c r="AE44" s="176"/>
      <c r="AF44" s="176"/>
      <c r="AG44" s="176"/>
      <c r="AH44" s="176"/>
      <c r="AI44" s="176"/>
      <c r="AJ44" s="176"/>
      <c r="AK44" s="176"/>
    </row>
    <row r="45" spans="1:37" ht="39" customHeight="1" x14ac:dyDescent="0.25">
      <c r="C45" s="139">
        <v>44</v>
      </c>
      <c r="D45" s="128"/>
      <c r="E45" s="137"/>
      <c r="G45" s="140">
        <v>44</v>
      </c>
      <c r="H45" s="127"/>
      <c r="I45" s="127"/>
      <c r="J45" s="127"/>
      <c r="K45" s="127"/>
      <c r="L45" s="127"/>
      <c r="M45" s="127"/>
      <c r="N45" s="127"/>
      <c r="P45" s="140">
        <v>44</v>
      </c>
      <c r="Q45" s="127"/>
      <c r="R45" s="127"/>
      <c r="S45" s="127"/>
      <c r="T45" s="127"/>
      <c r="U45" s="146"/>
      <c r="V45" s="140">
        <v>44</v>
      </c>
      <c r="W45" s="176"/>
      <c r="X45" s="176"/>
      <c r="Y45" s="176"/>
      <c r="Z45" s="176"/>
      <c r="AA45" s="176"/>
      <c r="AB45" s="176"/>
      <c r="AC45" s="176"/>
      <c r="AD45" s="176"/>
      <c r="AE45" s="176"/>
      <c r="AF45" s="176"/>
      <c r="AG45" s="176"/>
      <c r="AH45" s="176"/>
      <c r="AI45" s="176"/>
      <c r="AJ45" s="176"/>
      <c r="AK45" s="176"/>
    </row>
    <row r="46" spans="1:37" ht="39" customHeight="1" thickBot="1" x14ac:dyDescent="0.3">
      <c r="C46" s="139">
        <v>45</v>
      </c>
      <c r="D46" s="128"/>
      <c r="E46" s="137"/>
      <c r="G46" s="140">
        <v>45</v>
      </c>
      <c r="H46" s="127"/>
      <c r="I46" s="127"/>
      <c r="J46" s="127"/>
      <c r="K46" s="127"/>
      <c r="L46" s="127"/>
      <c r="M46" s="127"/>
      <c r="N46" s="127"/>
      <c r="P46" s="140">
        <v>45</v>
      </c>
      <c r="Q46" s="127"/>
      <c r="R46" s="127"/>
      <c r="S46" s="127"/>
      <c r="T46" s="127"/>
      <c r="U46" s="146"/>
      <c r="V46" s="140">
        <v>45</v>
      </c>
      <c r="W46" s="176"/>
      <c r="X46" s="176"/>
      <c r="Y46" s="176"/>
      <c r="Z46" s="176"/>
      <c r="AA46" s="176"/>
      <c r="AB46" s="176"/>
      <c r="AC46" s="176"/>
      <c r="AD46" s="176"/>
      <c r="AE46" s="176"/>
      <c r="AF46" s="176"/>
      <c r="AG46" s="176"/>
      <c r="AH46" s="176"/>
      <c r="AI46" s="176"/>
      <c r="AJ46" s="176"/>
      <c r="AK46" s="176"/>
    </row>
    <row r="47" spans="1:37" ht="39" customHeight="1" x14ac:dyDescent="0.25">
      <c r="C47" s="136">
        <v>46</v>
      </c>
      <c r="D47" s="128"/>
      <c r="E47" s="137"/>
      <c r="G47" s="138">
        <v>46</v>
      </c>
      <c r="H47" s="127"/>
      <c r="I47" s="127"/>
      <c r="J47" s="127"/>
      <c r="K47" s="127"/>
      <c r="L47" s="127"/>
      <c r="M47" s="127"/>
      <c r="N47" s="127"/>
      <c r="P47" s="138">
        <v>46</v>
      </c>
      <c r="Q47" s="127"/>
      <c r="R47" s="127"/>
      <c r="S47" s="127"/>
      <c r="T47" s="127"/>
      <c r="U47" s="146"/>
      <c r="V47" s="138">
        <v>46</v>
      </c>
      <c r="W47" s="176"/>
      <c r="X47" s="176"/>
      <c r="Y47" s="176"/>
      <c r="Z47" s="176"/>
      <c r="AA47" s="176"/>
      <c r="AB47" s="176"/>
      <c r="AC47" s="176"/>
      <c r="AD47" s="176"/>
      <c r="AE47" s="176"/>
      <c r="AF47" s="176"/>
      <c r="AG47" s="176"/>
      <c r="AH47" s="176"/>
      <c r="AI47" s="176"/>
      <c r="AJ47" s="176"/>
      <c r="AK47" s="176"/>
    </row>
    <row r="48" spans="1:37" ht="39" customHeight="1" x14ac:dyDescent="0.25">
      <c r="C48" s="139">
        <v>47</v>
      </c>
      <c r="D48" s="128"/>
      <c r="E48" s="137"/>
      <c r="G48" s="140">
        <v>47</v>
      </c>
      <c r="H48" s="127"/>
      <c r="I48" s="127"/>
      <c r="J48" s="127"/>
      <c r="K48" s="127"/>
      <c r="L48" s="127"/>
      <c r="M48" s="127"/>
      <c r="N48" s="127"/>
      <c r="P48" s="140">
        <v>47</v>
      </c>
      <c r="Q48" s="127"/>
      <c r="R48" s="127"/>
      <c r="S48" s="127"/>
      <c r="T48" s="127"/>
      <c r="U48" s="146"/>
      <c r="V48" s="140">
        <v>47</v>
      </c>
      <c r="W48" s="176"/>
      <c r="X48" s="176"/>
      <c r="Y48" s="176"/>
      <c r="Z48" s="176"/>
      <c r="AA48" s="176"/>
      <c r="AB48" s="176"/>
      <c r="AC48" s="176"/>
      <c r="AD48" s="176"/>
      <c r="AE48" s="176"/>
      <c r="AF48" s="176"/>
      <c r="AG48" s="176"/>
      <c r="AH48" s="176"/>
      <c r="AI48" s="176"/>
      <c r="AJ48" s="176"/>
      <c r="AK48" s="176"/>
    </row>
    <row r="49" spans="3:37" ht="39" customHeight="1" thickBot="1" x14ac:dyDescent="0.3">
      <c r="C49" s="139">
        <v>48</v>
      </c>
      <c r="D49" s="128"/>
      <c r="E49" s="137"/>
      <c r="G49" s="140">
        <v>48</v>
      </c>
      <c r="H49" s="127"/>
      <c r="I49" s="127"/>
      <c r="J49" s="127"/>
      <c r="K49" s="127"/>
      <c r="L49" s="127"/>
      <c r="M49" s="127"/>
      <c r="N49" s="127"/>
      <c r="P49" s="140">
        <v>48</v>
      </c>
      <c r="Q49" s="127"/>
      <c r="R49" s="127"/>
      <c r="S49" s="127"/>
      <c r="T49" s="127"/>
      <c r="U49" s="146"/>
      <c r="V49" s="140">
        <v>48</v>
      </c>
      <c r="W49" s="176"/>
      <c r="X49" s="176"/>
      <c r="Y49" s="176"/>
      <c r="Z49" s="176"/>
      <c r="AA49" s="176"/>
      <c r="AB49" s="176"/>
      <c r="AC49" s="176"/>
      <c r="AD49" s="176"/>
      <c r="AE49" s="176"/>
      <c r="AF49" s="176"/>
      <c r="AG49" s="176"/>
      <c r="AH49" s="176"/>
      <c r="AI49" s="176"/>
      <c r="AJ49" s="176"/>
      <c r="AK49" s="176"/>
    </row>
    <row r="50" spans="3:37" ht="39" customHeight="1" x14ac:dyDescent="0.25">
      <c r="C50" s="136">
        <v>49</v>
      </c>
      <c r="D50" s="128"/>
      <c r="E50" s="137"/>
      <c r="G50" s="138">
        <v>49</v>
      </c>
      <c r="H50" s="127"/>
      <c r="I50" s="127"/>
      <c r="J50" s="127"/>
      <c r="K50" s="127"/>
      <c r="L50" s="127"/>
      <c r="M50" s="127"/>
      <c r="N50" s="127"/>
      <c r="P50" s="138">
        <v>49</v>
      </c>
      <c r="Q50" s="127"/>
      <c r="R50" s="127"/>
      <c r="S50" s="127"/>
      <c r="T50" s="127"/>
      <c r="U50" s="146"/>
      <c r="V50" s="138">
        <v>49</v>
      </c>
      <c r="W50" s="176"/>
      <c r="X50" s="176"/>
      <c r="Y50" s="176"/>
      <c r="Z50" s="176"/>
      <c r="AA50" s="176"/>
      <c r="AB50" s="176"/>
      <c r="AC50" s="176"/>
      <c r="AD50" s="176"/>
      <c r="AE50" s="176"/>
      <c r="AF50" s="176"/>
      <c r="AG50" s="176"/>
      <c r="AH50" s="176"/>
      <c r="AI50" s="176"/>
      <c r="AJ50" s="176"/>
      <c r="AK50" s="176"/>
    </row>
    <row r="51" spans="3:37" ht="39" customHeight="1" x14ac:dyDescent="0.25">
      <c r="C51" s="139">
        <v>50</v>
      </c>
      <c r="D51" s="128"/>
      <c r="E51" s="137"/>
      <c r="G51" s="140">
        <v>50</v>
      </c>
      <c r="H51" s="127"/>
      <c r="I51" s="127"/>
      <c r="J51" s="127"/>
      <c r="K51" s="127"/>
      <c r="L51" s="127"/>
      <c r="M51" s="127"/>
      <c r="N51" s="127"/>
      <c r="P51" s="140">
        <v>50</v>
      </c>
      <c r="Q51" s="127"/>
      <c r="R51" s="127"/>
      <c r="S51" s="127"/>
      <c r="T51" s="127"/>
      <c r="U51" s="146"/>
      <c r="V51" s="140">
        <v>50</v>
      </c>
      <c r="W51" s="176"/>
      <c r="X51" s="176"/>
      <c r="Y51" s="176"/>
      <c r="Z51" s="176"/>
      <c r="AA51" s="176"/>
      <c r="AB51" s="176"/>
      <c r="AC51" s="176"/>
      <c r="AD51" s="176"/>
      <c r="AE51" s="176"/>
      <c r="AF51" s="176"/>
      <c r="AG51" s="176"/>
      <c r="AH51" s="176"/>
      <c r="AI51" s="176"/>
      <c r="AJ51" s="176"/>
      <c r="AK51" s="176"/>
    </row>
    <row r="52" spans="3:37" ht="39" customHeight="1" thickBot="1" x14ac:dyDescent="0.3">
      <c r="C52" s="139">
        <v>51</v>
      </c>
      <c r="D52" s="128"/>
      <c r="E52" s="137"/>
      <c r="G52" s="140">
        <v>51</v>
      </c>
      <c r="H52" s="127"/>
      <c r="I52" s="127"/>
      <c r="J52" s="127"/>
      <c r="K52" s="127"/>
      <c r="L52" s="127"/>
      <c r="M52" s="127"/>
      <c r="N52" s="127"/>
      <c r="P52" s="140">
        <v>51</v>
      </c>
      <c r="Q52" s="127"/>
      <c r="R52" s="127"/>
      <c r="S52" s="127"/>
      <c r="T52" s="127"/>
      <c r="U52" s="146"/>
      <c r="V52" s="140">
        <v>51</v>
      </c>
      <c r="W52" s="176"/>
      <c r="X52" s="176"/>
      <c r="Y52" s="176"/>
      <c r="Z52" s="176"/>
      <c r="AA52" s="176"/>
      <c r="AB52" s="176"/>
      <c r="AC52" s="176"/>
      <c r="AD52" s="176"/>
      <c r="AE52" s="176"/>
      <c r="AF52" s="176"/>
      <c r="AG52" s="176"/>
      <c r="AH52" s="176"/>
      <c r="AI52" s="176"/>
      <c r="AJ52" s="176"/>
      <c r="AK52" s="176"/>
    </row>
    <row r="53" spans="3:37" ht="39" customHeight="1" thickBot="1" x14ac:dyDescent="0.3">
      <c r="C53" s="160">
        <v>52</v>
      </c>
      <c r="D53" s="128"/>
      <c r="E53" s="137"/>
      <c r="G53" s="161">
        <v>52</v>
      </c>
      <c r="H53" s="127"/>
      <c r="I53" s="127"/>
      <c r="J53" s="127"/>
      <c r="K53" s="127"/>
      <c r="L53" s="127"/>
      <c r="M53" s="127"/>
      <c r="N53" s="127"/>
      <c r="P53" s="161">
        <v>52</v>
      </c>
      <c r="Q53" s="127"/>
      <c r="R53" s="127"/>
      <c r="S53" s="127"/>
      <c r="T53" s="127"/>
      <c r="U53" s="146"/>
      <c r="V53" s="153">
        <v>52</v>
      </c>
      <c r="W53" s="176"/>
      <c r="X53" s="176"/>
      <c r="Y53" s="176"/>
      <c r="Z53" s="176"/>
      <c r="AA53" s="176"/>
      <c r="AB53" s="176"/>
      <c r="AC53" s="176"/>
      <c r="AD53" s="176"/>
      <c r="AE53" s="176"/>
      <c r="AF53" s="176"/>
      <c r="AG53" s="176"/>
      <c r="AH53" s="176"/>
      <c r="AI53" s="176"/>
      <c r="AJ53" s="176"/>
      <c r="AK53" s="176"/>
    </row>
  </sheetData>
  <sheetProtection algorithmName="SHA-512" hashValue="3GlgGvbUhg5C+PjHBVusNvXr0tX7EZVinc1OerqYfKkBbmmBeT4BlJ1CvWDGWwHJqtBjuwUERLXYvxEqA7vgMw==" saltValue="AgTCrIF+RGaXrC8O5GBWEw==" spinCount="100000" sheet="1" objects="1" scenarios="1" formatRows="0" sort="0" autoFilter="0"/>
  <mergeCells count="1">
    <mergeCell ref="A2:B2"/>
  </mergeCells>
  <phoneticPr fontId="5" type="noConversion"/>
  <conditionalFormatting sqref="D35">
    <cfRule type="colorScale" priority="3">
      <colorScale>
        <cfvo type="min"/>
        <cfvo type="percentile" val="50"/>
        <cfvo type="max"/>
        <color rgb="FFF8696B"/>
        <color rgb="FFFFEB84"/>
        <color rgb="FF63BE7B"/>
      </colorScale>
    </cfRule>
  </conditionalFormatting>
  <conditionalFormatting sqref="D36:D53 D2:D34">
    <cfRule type="colorScale" priority="46">
      <colorScale>
        <cfvo type="min"/>
        <cfvo type="percentile" val="50"/>
        <cfvo type="max"/>
        <color rgb="FFF8696B"/>
        <color rgb="FFFFEB84"/>
        <color rgb="FF63BE7B"/>
      </colorScale>
    </cfRule>
  </conditionalFormatting>
  <conditionalFormatting sqref="E2:E28">
    <cfRule type="colorScale" priority="6">
      <colorScale>
        <cfvo type="min"/>
        <cfvo type="percentile" val="50"/>
        <cfvo type="max"/>
        <color rgb="FFF8696B"/>
        <color rgb="FFFFEB84"/>
        <color rgb="FF63BE7B"/>
      </colorScale>
    </cfRule>
  </conditionalFormatting>
  <conditionalFormatting sqref="E29:E53">
    <cfRule type="colorScale" priority="48">
      <colorScale>
        <cfvo type="min"/>
        <cfvo type="percentile" val="50"/>
        <cfvo type="max"/>
        <color rgb="FFF8696B"/>
        <color rgb="FFFFEB84"/>
        <color rgb="FF63BE7B"/>
      </colorScale>
    </cfRule>
  </conditionalFormatting>
  <conditionalFormatting sqref="H4:M4">
    <cfRule type="colorScale" priority="1">
      <colorScale>
        <cfvo type="min"/>
        <cfvo type="percentile" val="50"/>
        <cfvo type="max"/>
        <color rgb="FFF8696B"/>
        <color rgb="FFFFEB84"/>
        <color rgb="FF63BE7B"/>
      </colorScale>
    </cfRule>
  </conditionalFormatting>
  <conditionalFormatting sqref="H2:N2">
    <cfRule type="colorScale" priority="13">
      <colorScale>
        <cfvo type="min"/>
        <cfvo type="percentile" val="50"/>
        <cfvo type="max"/>
        <color rgb="FFF8696B"/>
        <color rgb="FFFFEB84"/>
        <color rgb="FF63BE7B"/>
      </colorScale>
    </cfRule>
  </conditionalFormatting>
  <conditionalFormatting sqref="H3:N3">
    <cfRule type="colorScale" priority="11">
      <colorScale>
        <cfvo type="min"/>
        <cfvo type="percentile" val="50"/>
        <cfvo type="max"/>
        <color rgb="FFF8696B"/>
        <color rgb="FFFFEB84"/>
        <color rgb="FF63BE7B"/>
      </colorScale>
    </cfRule>
  </conditionalFormatting>
  <conditionalFormatting sqref="H5:N53 N4">
    <cfRule type="colorScale" priority="49">
      <colorScale>
        <cfvo type="min"/>
        <cfvo type="percentile" val="50"/>
        <cfvo type="max"/>
        <color rgb="FFF8696B"/>
        <color rgb="FFFFEB84"/>
        <color rgb="FF63BE7B"/>
      </colorScale>
    </cfRule>
  </conditionalFormatting>
  <conditionalFormatting sqref="W2:Z11 Q2:U53">
    <cfRule type="colorScale" priority="51">
      <colorScale>
        <cfvo type="min"/>
        <cfvo type="percentile" val="50"/>
        <cfvo type="max"/>
        <color rgb="FFF8696B"/>
        <color rgb="FFFFEB84"/>
        <color rgb="FF63BE7B"/>
      </colorScale>
    </cfRule>
  </conditionalFormatting>
  <dataValidations count="3">
    <dataValidation type="whole" allowBlank="1" showInputMessage="1" showErrorMessage="1" sqref="H2:M53 Q2:U53" xr:uid="{391AE881-C92A-4F7E-883B-2997FC3BDBA1}">
      <formula1>1</formula1>
      <formula2>5</formula2>
    </dataValidation>
    <dataValidation type="decimal" allowBlank="1" showInputMessage="1" showErrorMessage="1" sqref="D2:E53" xr:uid="{7EE23707-35E0-4C0B-AEBB-1C8B6993B182}">
      <formula1>1</formula1>
      <formula2>5</formula2>
    </dataValidation>
    <dataValidation type="whole" allowBlank="1" showInputMessage="1" showErrorMessage="1" sqref="W2:AK53" xr:uid="{1386F89B-5850-4013-85A7-B2F70FD8331A}">
      <formula1>0</formula1>
      <formula2>7</formula2>
    </dataValidation>
  </dataValidations>
  <pageMargins left="0.7" right="0.7" top="0.75" bottom="0.75" header="0.3" footer="0.3"/>
  <pageSetup paperSize="9"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DB6C-0A11-41D1-A82E-08A7B30DFF4A}">
  <sheetPr codeName="Foglio8">
    <tabColor theme="6" tint="0.39997558519241921"/>
  </sheetPr>
  <dimension ref="B21:I22"/>
  <sheetViews>
    <sheetView showGridLines="0" zoomScaleNormal="100" workbookViewId="0">
      <selection activeCell="V22" sqref="V22"/>
    </sheetView>
  </sheetViews>
  <sheetFormatPr defaultRowHeight="15" x14ac:dyDescent="0.25"/>
  <cols>
    <col min="1" max="16384" width="9.140625" style="88"/>
  </cols>
  <sheetData>
    <row r="21" spans="2:9" x14ac:dyDescent="0.25">
      <c r="B21" s="378"/>
      <c r="C21" s="378"/>
      <c r="D21" s="378"/>
      <c r="E21" s="378"/>
      <c r="F21" s="378"/>
      <c r="G21" s="378"/>
      <c r="H21" s="378"/>
      <c r="I21" s="378"/>
    </row>
    <row r="22" spans="2:9" x14ac:dyDescent="0.25">
      <c r="B22" s="378"/>
      <c r="C22" s="378"/>
      <c r="D22" s="378"/>
      <c r="E22" s="378"/>
      <c r="F22" s="378"/>
      <c r="G22" s="378"/>
      <c r="H22" s="378"/>
      <c r="I22" s="378"/>
    </row>
  </sheetData>
  <sheetProtection algorithmName="SHA-512" hashValue="aoF8GbTwRvhpcLMoh+L7/9MPo+jjjyeiAmiu4f39nVoFoNCvrHLXR/ABxMFxcMa1AUJc4TdBnDR6aGBAWOHP2Q==" saltValue="amKZo/zgcXVmdFg67sMWLw==" spinCount="100000" sheet="1" objects="1" scenarios="1"/>
  <mergeCells count="1">
    <mergeCell ref="B21:I22"/>
  </mergeCells>
  <conditionalFormatting sqref="C24:H24">
    <cfRule type="dataBar" priority="1">
      <dataBar>
        <cfvo type="min"/>
        <cfvo type="max"/>
        <color rgb="FF638EC6"/>
      </dataBar>
      <extLst>
        <ext xmlns:x14="http://schemas.microsoft.com/office/spreadsheetml/2009/9/main" uri="{B025F937-C7B1-47D3-B67F-A62EFF666E3E}">
          <x14:id>{17FF35D9-EA2F-413D-AEAC-3CD4C02D798E}</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17FF35D9-EA2F-413D-AEAC-3CD4C02D798E}">
            <x14:dataBar minLength="0" maxLength="100" border="1" negativeBarBorderColorSameAsPositive="0">
              <x14:cfvo type="autoMin"/>
              <x14:cfvo type="autoMax"/>
              <x14:borderColor rgb="FF638EC6"/>
              <x14:negativeFillColor rgb="FFFF0000"/>
              <x14:negativeBorderColor rgb="FFFF0000"/>
              <x14:axisColor rgb="FF000000"/>
            </x14:dataBar>
          </x14:cfRule>
          <xm:sqref>C24:H24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Instructions</vt:lpstr>
      <vt:lpstr>(NAME) - Sheet</vt:lpstr>
      <vt:lpstr>(NAME) - Sheet (2)</vt:lpstr>
      <vt:lpstr>Risk assesment</vt:lpstr>
      <vt:lpstr>Progress calculator</vt:lpstr>
      <vt:lpstr>Well-Being </vt:lpstr>
      <vt:lpstr>Weekly Progress</vt:lpstr>
      <vt:lpstr>Statistics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Guido Matteo Cavicchioli</dc:creator>
  <cp:keywords/>
  <dc:description/>
  <cp:lastModifiedBy>Guido Matteo Cavicchioli</cp:lastModifiedBy>
  <cp:revision/>
  <dcterms:created xsi:type="dcterms:W3CDTF">2015-06-05T18:19:34Z</dcterms:created>
  <dcterms:modified xsi:type="dcterms:W3CDTF">2026-03-16T14:31:38Z</dcterms:modified>
  <cp:category/>
  <cp:contentStatus/>
</cp:coreProperties>
</file>